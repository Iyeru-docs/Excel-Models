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hinav\Desktop\"/>
    </mc:Choice>
  </mc:AlternateContent>
  <xr:revisionPtr revIDLastSave="0" documentId="13_ncr:1_{CDD3E413-8232-4C34-8727-FD220263DB6A}" xr6:coauthVersionLast="47" xr6:coauthVersionMax="47" xr10:uidLastSave="{00000000-0000-0000-0000-000000000000}"/>
  <bookViews>
    <workbookView xWindow="-110" yWindow="-110" windowWidth="19420" windowHeight="11020" activeTab="3" xr2:uid="{00000000-000D-0000-FFFF-FFFF00000000}"/>
  </bookViews>
  <sheets>
    <sheet name="Assumptions" sheetId="4" r:id="rId1"/>
    <sheet name="3- Statement Model" sheetId="1" r:id="rId2"/>
    <sheet name="LBO Model" sheetId="2" r:id="rId3"/>
    <sheet name="Returns Analysis - LBO" sheetId="3" r:id="rId4"/>
    <sheet name="Appendix - Footnotes" sheetId="5" r:id="rId5"/>
    <sheet name="WACC Working" sheetId="7" r:id="rId6"/>
  </sheets>
  <calcPr calcId="181029"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5" i="7" l="1"/>
  <c r="L44" i="7"/>
  <c r="I45" i="7"/>
  <c r="I44" i="7"/>
  <c r="H45" i="7"/>
  <c r="H44" i="7"/>
  <c r="C8" i="7"/>
  <c r="G45" i="7"/>
  <c r="G44" i="7"/>
  <c r="E44" i="7"/>
  <c r="F44" i="7" s="1"/>
  <c r="C24" i="7"/>
  <c r="D23" i="7"/>
  <c r="D22" i="7"/>
  <c r="D21" i="7"/>
  <c r="D20" i="7"/>
  <c r="D19" i="7"/>
  <c r="D18" i="7"/>
  <c r="D17" i="7"/>
  <c r="D16" i="7"/>
  <c r="D15" i="7"/>
  <c r="D14" i="7"/>
  <c r="D13" i="7"/>
  <c r="D12" i="7"/>
  <c r="D45" i="7"/>
  <c r="E45" i="7" s="1"/>
  <c r="F45" i="7" s="1"/>
  <c r="D44" i="7"/>
  <c r="C149" i="3"/>
  <c r="L135" i="3"/>
  <c r="L136" i="3"/>
  <c r="C32" i="1"/>
  <c r="D14" i="1"/>
  <c r="C14" i="1"/>
  <c r="C150" i="3"/>
  <c r="C151" i="3"/>
  <c r="C152" i="3"/>
  <c r="C153" i="3"/>
  <c r="D150" i="3"/>
  <c r="D151" i="3"/>
  <c r="D152" i="3"/>
  <c r="D153" i="3"/>
  <c r="E150" i="3"/>
  <c r="E151" i="3"/>
  <c r="E152" i="3"/>
  <c r="E153" i="3"/>
  <c r="F150" i="3"/>
  <c r="F151" i="3"/>
  <c r="F152" i="3"/>
  <c r="F153" i="3"/>
  <c r="G150" i="3"/>
  <c r="G151" i="3"/>
  <c r="G152" i="3"/>
  <c r="G153" i="3"/>
  <c r="D149" i="3"/>
  <c r="E149" i="3"/>
  <c r="F149" i="3"/>
  <c r="G149" i="3"/>
  <c r="B141" i="5"/>
  <c r="L138" i="3"/>
  <c r="L139" i="3" s="1"/>
  <c r="L140" i="3" s="1"/>
  <c r="L141" i="3" s="1"/>
  <c r="L142" i="3" s="1"/>
  <c r="L143" i="3" s="1"/>
  <c r="M139" i="3"/>
  <c r="M140" i="3" s="1"/>
  <c r="M141" i="3" s="1"/>
  <c r="M142" i="3" s="1"/>
  <c r="M143" i="3" s="1"/>
  <c r="C189" i="1"/>
  <c r="I94" i="1"/>
  <c r="H94" i="1"/>
  <c r="G94" i="1"/>
  <c r="F94" i="1"/>
  <c r="E94" i="1"/>
  <c r="D94" i="1"/>
  <c r="C94" i="1"/>
  <c r="C36" i="1"/>
  <c r="D36" i="1"/>
  <c r="E36" i="1"/>
  <c r="F36" i="1"/>
  <c r="G36" i="1"/>
  <c r="H36" i="1"/>
  <c r="I36" i="1"/>
  <c r="B134" i="5"/>
  <c r="B131" i="5"/>
  <c r="B128" i="5"/>
  <c r="B125" i="5"/>
  <c r="B122" i="5"/>
  <c r="B119" i="5"/>
  <c r="B116" i="5"/>
  <c r="B113" i="5"/>
  <c r="B103" i="5"/>
  <c r="B99" i="5"/>
  <c r="B96" i="5"/>
  <c r="B90" i="5"/>
  <c r="B87" i="5"/>
  <c r="B84" i="5"/>
  <c r="B81" i="5"/>
  <c r="B78" i="5"/>
  <c r="B93" i="5"/>
  <c r="D60" i="3"/>
  <c r="L91" i="3"/>
  <c r="L92" i="3"/>
  <c r="L93" i="3"/>
  <c r="L90" i="3"/>
  <c r="C23" i="2"/>
  <c r="C41" i="2"/>
  <c r="C16" i="3" s="1"/>
  <c r="C17" i="3" s="1"/>
  <c r="C6" i="2" s="1"/>
  <c r="C38" i="2"/>
  <c r="C54" i="2" s="1"/>
  <c r="C37" i="2"/>
  <c r="C14" i="3"/>
  <c r="E240" i="1"/>
  <c r="E242" i="1" s="1"/>
  <c r="E244" i="1"/>
  <c r="F134" i="1"/>
  <c r="G134" i="1"/>
  <c r="H134" i="1"/>
  <c r="I134" i="1"/>
  <c r="F24" i="1"/>
  <c r="F107" i="1" s="1"/>
  <c r="F133" i="1" s="1"/>
  <c r="G24" i="1"/>
  <c r="G107" i="1" s="1"/>
  <c r="G133" i="1" s="1"/>
  <c r="H24" i="1"/>
  <c r="H107" i="1" s="1"/>
  <c r="H133" i="1" s="1"/>
  <c r="I24" i="1"/>
  <c r="I107" i="1" s="1"/>
  <c r="I133" i="1" s="1"/>
  <c r="E24" i="1"/>
  <c r="E107" i="1" s="1"/>
  <c r="E133" i="1" s="1"/>
  <c r="F140" i="1"/>
  <c r="D99" i="3" s="1"/>
  <c r="L99" i="3" s="1"/>
  <c r="G140" i="1"/>
  <c r="D100" i="3" s="1"/>
  <c r="L100" i="3" s="1"/>
  <c r="H140" i="1"/>
  <c r="D101" i="3" s="1"/>
  <c r="L101" i="3" s="1"/>
  <c r="I140" i="1"/>
  <c r="D102" i="3" s="1"/>
  <c r="L102" i="3" s="1"/>
  <c r="I238" i="1"/>
  <c r="H238" i="1"/>
  <c r="G238" i="1"/>
  <c r="F238" i="1"/>
  <c r="E238" i="1"/>
  <c r="E134" i="1"/>
  <c r="J86" i="4"/>
  <c r="F202" i="1"/>
  <c r="G202" i="1"/>
  <c r="H202" i="1"/>
  <c r="I202" i="1"/>
  <c r="E202" i="1"/>
  <c r="E201" i="1"/>
  <c r="K86" i="4"/>
  <c r="L86" i="4"/>
  <c r="M86" i="4"/>
  <c r="N86" i="4"/>
  <c r="D206" i="1"/>
  <c r="C206" i="1"/>
  <c r="E2" i="4"/>
  <c r="J20" i="4" s="1"/>
  <c r="J23" i="4" s="1"/>
  <c r="F172" i="1"/>
  <c r="G172" i="1"/>
  <c r="H172" i="1"/>
  <c r="I172" i="1"/>
  <c r="I183" i="1" s="1"/>
  <c r="E172" i="1"/>
  <c r="F197" i="1"/>
  <c r="G197" i="1"/>
  <c r="H197" i="1"/>
  <c r="I197" i="1"/>
  <c r="E197" i="1"/>
  <c r="F162" i="1"/>
  <c r="G162" i="1"/>
  <c r="H162" i="1"/>
  <c r="I162" i="1"/>
  <c r="E162" i="1"/>
  <c r="F161" i="1"/>
  <c r="G161" i="1"/>
  <c r="H161" i="1"/>
  <c r="I161" i="1"/>
  <c r="E161" i="1"/>
  <c r="F223" i="1"/>
  <c r="F45" i="1" s="1"/>
  <c r="G223" i="1"/>
  <c r="G45" i="1" s="1"/>
  <c r="H223" i="1"/>
  <c r="H45" i="1" s="1"/>
  <c r="I223" i="1"/>
  <c r="I45" i="1" s="1"/>
  <c r="E223" i="1"/>
  <c r="E45" i="1" s="1"/>
  <c r="F217" i="1"/>
  <c r="G217" i="1"/>
  <c r="H217" i="1"/>
  <c r="I217" i="1"/>
  <c r="F218" i="1"/>
  <c r="G218" i="1"/>
  <c r="H218" i="1"/>
  <c r="I218" i="1"/>
  <c r="F219" i="1"/>
  <c r="G219" i="1"/>
  <c r="H219" i="1"/>
  <c r="I219" i="1"/>
  <c r="F220" i="1"/>
  <c r="G220" i="1"/>
  <c r="H220" i="1"/>
  <c r="I220" i="1"/>
  <c r="E218" i="1"/>
  <c r="E219" i="1"/>
  <c r="E220" i="1"/>
  <c r="E217" i="1"/>
  <c r="E215" i="1"/>
  <c r="F215" i="1"/>
  <c r="G215" i="1"/>
  <c r="H215" i="1"/>
  <c r="I215" i="1"/>
  <c r="F214" i="1"/>
  <c r="G214" i="1"/>
  <c r="H214" i="1"/>
  <c r="I214" i="1"/>
  <c r="E214" i="1"/>
  <c r="F141" i="1"/>
  <c r="G141" i="1"/>
  <c r="H141" i="1"/>
  <c r="I141" i="1"/>
  <c r="E141" i="1"/>
  <c r="G127" i="1"/>
  <c r="H127" i="1"/>
  <c r="I127" i="1"/>
  <c r="F127" i="1"/>
  <c r="F118" i="1"/>
  <c r="G118" i="1"/>
  <c r="H118" i="1"/>
  <c r="I118" i="1"/>
  <c r="E118" i="1"/>
  <c r="F83" i="1"/>
  <c r="G83" i="1"/>
  <c r="H83" i="1"/>
  <c r="I83" i="1"/>
  <c r="E83" i="1"/>
  <c r="F71" i="1"/>
  <c r="G71" i="1"/>
  <c r="H71" i="1"/>
  <c r="I71" i="1"/>
  <c r="E71" i="1"/>
  <c r="F66" i="1"/>
  <c r="G66" i="1"/>
  <c r="H66" i="1"/>
  <c r="I66" i="1"/>
  <c r="E66" i="1"/>
  <c r="F65" i="1"/>
  <c r="G65" i="1"/>
  <c r="H65" i="1"/>
  <c r="I65" i="1"/>
  <c r="E65" i="1"/>
  <c r="F47" i="1"/>
  <c r="G47" i="1"/>
  <c r="H47" i="1"/>
  <c r="I47" i="1"/>
  <c r="E47" i="1"/>
  <c r="F43" i="1"/>
  <c r="G43" i="1"/>
  <c r="H43" i="1"/>
  <c r="I43" i="1"/>
  <c r="E43" i="1"/>
  <c r="F132" i="1"/>
  <c r="G132" i="1"/>
  <c r="H132" i="1"/>
  <c r="I132" i="1"/>
  <c r="E132" i="1"/>
  <c r="F129" i="1"/>
  <c r="G129" i="1"/>
  <c r="H129" i="1"/>
  <c r="I129" i="1"/>
  <c r="E129" i="1"/>
  <c r="C235" i="1"/>
  <c r="D229" i="1"/>
  <c r="D235" i="1" s="1"/>
  <c r="E229" i="1" s="1"/>
  <c r="I99" i="4"/>
  <c r="H99" i="4"/>
  <c r="J93" i="4"/>
  <c r="K93" i="4" s="1"/>
  <c r="L93" i="4" s="1"/>
  <c r="M93" i="4" s="1"/>
  <c r="N93" i="4" s="1"/>
  <c r="I74" i="1" s="1"/>
  <c r="J92" i="4"/>
  <c r="K92" i="4" s="1"/>
  <c r="L92" i="4" s="1"/>
  <c r="M92" i="4" s="1"/>
  <c r="N92" i="4" s="1"/>
  <c r="I73" i="1" s="1"/>
  <c r="I58" i="4"/>
  <c r="H58" i="4"/>
  <c r="I75" i="4"/>
  <c r="H75" i="4"/>
  <c r="I74" i="4"/>
  <c r="H74" i="4"/>
  <c r="I50" i="4"/>
  <c r="H50" i="4"/>
  <c r="I83" i="4"/>
  <c r="I82" i="4"/>
  <c r="H82" i="4"/>
  <c r="I81" i="4"/>
  <c r="H81" i="4"/>
  <c r="I70" i="4"/>
  <c r="H70" i="4"/>
  <c r="I69" i="4"/>
  <c r="H69" i="4"/>
  <c r="I64" i="4"/>
  <c r="H64" i="4"/>
  <c r="I63" i="4"/>
  <c r="H63" i="4"/>
  <c r="H35" i="4"/>
  <c r="I35" i="4"/>
  <c r="I23" i="4"/>
  <c r="I24" i="4" s="1"/>
  <c r="H24" i="4"/>
  <c r="E91" i="3"/>
  <c r="F91" i="3" s="1"/>
  <c r="M91" i="3" s="1"/>
  <c r="E92" i="3"/>
  <c r="F92" i="3" s="1"/>
  <c r="M92" i="3" s="1"/>
  <c r="E93" i="3"/>
  <c r="F93" i="3" s="1"/>
  <c r="M93" i="3" s="1"/>
  <c r="E90" i="3"/>
  <c r="F90" i="3" s="1"/>
  <c r="M90" i="3" s="1"/>
  <c r="E89" i="3"/>
  <c r="D78" i="3" s="1"/>
  <c r="E88" i="3"/>
  <c r="E87" i="3"/>
  <c r="D88" i="3"/>
  <c r="L88" i="3" s="1"/>
  <c r="D87" i="3"/>
  <c r="L87" i="3" s="1"/>
  <c r="D89" i="3"/>
  <c r="C78" i="3" s="1"/>
  <c r="I167" i="1"/>
  <c r="H167" i="1"/>
  <c r="G167" i="1"/>
  <c r="F167" i="1"/>
  <c r="E167" i="1"/>
  <c r="D167" i="1"/>
  <c r="C167" i="1"/>
  <c r="I192" i="1"/>
  <c r="H192" i="1"/>
  <c r="G192" i="1"/>
  <c r="F192" i="1"/>
  <c r="E192" i="1"/>
  <c r="D192" i="1"/>
  <c r="C192" i="1"/>
  <c r="I227" i="1"/>
  <c r="H227" i="1"/>
  <c r="G227" i="1"/>
  <c r="F227" i="1"/>
  <c r="E227" i="1"/>
  <c r="D227" i="1"/>
  <c r="C227" i="1"/>
  <c r="I178" i="1"/>
  <c r="H178" i="1"/>
  <c r="G178" i="1"/>
  <c r="F178" i="1"/>
  <c r="E178" i="1"/>
  <c r="D178" i="1"/>
  <c r="C178" i="1"/>
  <c r="I156" i="1"/>
  <c r="H156" i="1"/>
  <c r="G156" i="1"/>
  <c r="F156" i="1"/>
  <c r="E156" i="1"/>
  <c r="D156" i="1"/>
  <c r="C156" i="1"/>
  <c r="H46" i="4"/>
  <c r="I46" i="4"/>
  <c r="I210" i="1"/>
  <c r="H210" i="1"/>
  <c r="G210" i="1"/>
  <c r="F210" i="1"/>
  <c r="E210" i="1"/>
  <c r="D210" i="1"/>
  <c r="C210" i="1"/>
  <c r="D96" i="3"/>
  <c r="E96" i="3" s="1"/>
  <c r="D94" i="3"/>
  <c r="E94" i="3" s="1"/>
  <c r="D95" i="3"/>
  <c r="E95" i="3" s="1"/>
  <c r="C27" i="3"/>
  <c r="C47" i="3" s="1"/>
  <c r="B83" i="2"/>
  <c r="C20" i="2"/>
  <c r="B80" i="2" s="1"/>
  <c r="C36" i="2"/>
  <c r="C35" i="2"/>
  <c r="C10" i="2"/>
  <c r="C26" i="2" s="1"/>
  <c r="D183" i="1"/>
  <c r="C183" i="1"/>
  <c r="C197" i="1"/>
  <c r="D197" i="1"/>
  <c r="D198" i="1" s="1"/>
  <c r="D161" i="1"/>
  <c r="C161" i="1"/>
  <c r="D17" i="1"/>
  <c r="C17" i="1"/>
  <c r="D131" i="1"/>
  <c r="C131" i="1"/>
  <c r="C194" i="1"/>
  <c r="H83" i="4" s="1"/>
  <c r="E194" i="1"/>
  <c r="D148" i="1"/>
  <c r="C148" i="1"/>
  <c r="D128" i="1"/>
  <c r="C128" i="1"/>
  <c r="D100" i="1"/>
  <c r="C100" i="1"/>
  <c r="D56" i="1"/>
  <c r="D26" i="1"/>
  <c r="C26" i="1"/>
  <c r="C18" i="1"/>
  <c r="D18" i="1"/>
  <c r="D189" i="1"/>
  <c r="D188" i="1"/>
  <c r="C188" i="1"/>
  <c r="D181" i="1"/>
  <c r="C181" i="1"/>
  <c r="E180" i="1"/>
  <c r="E182" i="1" s="1"/>
  <c r="E144" i="1" s="1"/>
  <c r="D175" i="1"/>
  <c r="C175" i="1"/>
  <c r="E169" i="1"/>
  <c r="E171" i="1" s="1"/>
  <c r="E18" i="1" s="1"/>
  <c r="D173" i="1"/>
  <c r="C173" i="1"/>
  <c r="E158" i="1"/>
  <c r="E160" i="1" s="1"/>
  <c r="D158" i="1"/>
  <c r="I65" i="4" s="1"/>
  <c r="C158" i="1"/>
  <c r="H65" i="4" s="1"/>
  <c r="D222" i="1"/>
  <c r="D224" i="1" s="1"/>
  <c r="C222" i="1"/>
  <c r="C224" i="1" s="1"/>
  <c r="D85" i="1"/>
  <c r="C85" i="1"/>
  <c r="D67" i="1"/>
  <c r="C67" i="1"/>
  <c r="D75" i="1"/>
  <c r="C75" i="1"/>
  <c r="C56" i="1"/>
  <c r="D48" i="1"/>
  <c r="C48" i="1"/>
  <c r="C21" i="1"/>
  <c r="D21" i="1"/>
  <c r="D11" i="1"/>
  <c r="I29" i="4" s="1"/>
  <c r="C11" i="1"/>
  <c r="H29" i="4" s="1"/>
  <c r="D10" i="1"/>
  <c r="I28" i="4" s="1"/>
  <c r="C10" i="1"/>
  <c r="H28" i="4" s="1"/>
  <c r="D7" i="1"/>
  <c r="D8" i="1" s="1"/>
  <c r="C7" i="1"/>
  <c r="C8" i="1" s="1"/>
  <c r="D24" i="7" l="1"/>
  <c r="G33" i="7" s="1"/>
  <c r="J21" i="4"/>
  <c r="J24" i="4" s="1"/>
  <c r="J29" i="4"/>
  <c r="J30" i="4" s="1"/>
  <c r="N29" i="4"/>
  <c r="N30" i="4" s="1"/>
  <c r="M29" i="4"/>
  <c r="M30" i="4" s="1"/>
  <c r="L29" i="4"/>
  <c r="L30" i="4" s="1"/>
  <c r="K29" i="4"/>
  <c r="K30" i="4" s="1"/>
  <c r="L145" i="3"/>
  <c r="C37" i="3"/>
  <c r="M21" i="4"/>
  <c r="L21" i="4"/>
  <c r="L146" i="3"/>
  <c r="F105" i="1"/>
  <c r="C39" i="2"/>
  <c r="C42" i="2" s="1"/>
  <c r="L89" i="3"/>
  <c r="L94" i="3"/>
  <c r="L96" i="3"/>
  <c r="L95" i="3"/>
  <c r="C24" i="2"/>
  <c r="C25" i="2" s="1"/>
  <c r="C18" i="3"/>
  <c r="C72" i="2" s="1"/>
  <c r="C70" i="3"/>
  <c r="D63" i="3"/>
  <c r="D97" i="3"/>
  <c r="L97" i="3" s="1"/>
  <c r="E203" i="1"/>
  <c r="E204" i="1" s="1"/>
  <c r="F201" i="1" s="1"/>
  <c r="F203" i="1" s="1"/>
  <c r="F88" i="3"/>
  <c r="M88" i="3" s="1"/>
  <c r="D81" i="3"/>
  <c r="C76" i="3"/>
  <c r="F89" i="3"/>
  <c r="F87" i="3"/>
  <c r="M87" i="3" s="1"/>
  <c r="F95" i="3"/>
  <c r="M95" i="3" s="1"/>
  <c r="F94" i="3"/>
  <c r="M94" i="3" s="1"/>
  <c r="F96" i="3"/>
  <c r="M96" i="3" s="1"/>
  <c r="C198" i="1"/>
  <c r="E196" i="1"/>
  <c r="E234" i="1"/>
  <c r="E113" i="1" s="1"/>
  <c r="E231" i="1"/>
  <c r="E26" i="1" s="1"/>
  <c r="E230" i="1"/>
  <c r="E101" i="1" s="1"/>
  <c r="H27" i="4"/>
  <c r="H30" i="4" s="1"/>
  <c r="N21" i="4"/>
  <c r="C22" i="3"/>
  <c r="L20" i="4"/>
  <c r="G170" i="1" s="1"/>
  <c r="G181" i="1" s="1"/>
  <c r="L63" i="4"/>
  <c r="M20" i="4"/>
  <c r="H170" i="1" s="1"/>
  <c r="H181" i="1" s="1"/>
  <c r="K21" i="4"/>
  <c r="K20" i="4"/>
  <c r="F170" i="1" s="1"/>
  <c r="F181" i="1" s="1"/>
  <c r="K63" i="4"/>
  <c r="M63" i="4"/>
  <c r="N20" i="4"/>
  <c r="I170" i="1" s="1"/>
  <c r="I181" i="1" s="1"/>
  <c r="N63" i="4"/>
  <c r="E170" i="1"/>
  <c r="J63" i="4"/>
  <c r="E73" i="1"/>
  <c r="E120" i="1" s="1"/>
  <c r="F73" i="1"/>
  <c r="H73" i="1"/>
  <c r="E74" i="1"/>
  <c r="H74" i="1"/>
  <c r="G74" i="1"/>
  <c r="F74" i="1"/>
  <c r="G73" i="1"/>
  <c r="I27" i="4"/>
  <c r="I30" i="4" s="1"/>
  <c r="I43" i="4"/>
  <c r="H43" i="4"/>
  <c r="D184" i="1"/>
  <c r="H183" i="1"/>
  <c r="G183" i="1"/>
  <c r="F183" i="1"/>
  <c r="C184" i="1"/>
  <c r="D162" i="1"/>
  <c r="D164" i="1" s="1"/>
  <c r="C136" i="1"/>
  <c r="E105" i="1"/>
  <c r="E12" i="1" s="1"/>
  <c r="E183" i="1"/>
  <c r="D136" i="1"/>
  <c r="C162" i="1"/>
  <c r="C164" i="1" s="1"/>
  <c r="C77" i="1"/>
  <c r="C87" i="1" s="1"/>
  <c r="D77" i="1"/>
  <c r="D87" i="1" s="1"/>
  <c r="D58" i="1"/>
  <c r="C58" i="1"/>
  <c r="C19" i="1"/>
  <c r="C22" i="1" s="1"/>
  <c r="C12" i="2"/>
  <c r="C13" i="2" s="1"/>
  <c r="F39" i="7" l="1"/>
  <c r="F36" i="7"/>
  <c r="E37" i="7"/>
  <c r="F28" i="7"/>
  <c r="F35" i="7"/>
  <c r="E31" i="7"/>
  <c r="E33" i="7"/>
  <c r="E35" i="7"/>
  <c r="G38" i="7"/>
  <c r="G39" i="7"/>
  <c r="E30" i="7"/>
  <c r="G35" i="7"/>
  <c r="F32" i="7"/>
  <c r="F33" i="7"/>
  <c r="E38" i="7"/>
  <c r="F34" i="7"/>
  <c r="E39" i="7"/>
  <c r="E28" i="7"/>
  <c r="G28" i="7"/>
  <c r="G29" i="7"/>
  <c r="F37" i="7"/>
  <c r="G34" i="7"/>
  <c r="E29" i="7"/>
  <c r="F30" i="7"/>
  <c r="G32" i="7"/>
  <c r="G31" i="7"/>
  <c r="F31" i="7"/>
  <c r="F29" i="7"/>
  <c r="G37" i="7"/>
  <c r="E32" i="7"/>
  <c r="E34" i="7"/>
  <c r="F38" i="7"/>
  <c r="G30" i="7"/>
  <c r="L147" i="3"/>
  <c r="E78" i="3"/>
  <c r="M89" i="3"/>
  <c r="C40" i="2"/>
  <c r="C45" i="2" s="1"/>
  <c r="C9" i="3" s="1"/>
  <c r="C58" i="3" s="1"/>
  <c r="E58" i="3" s="1"/>
  <c r="C53" i="3"/>
  <c r="C43" i="2"/>
  <c r="C44" i="2" s="1"/>
  <c r="E97" i="3"/>
  <c r="D75" i="3" s="1"/>
  <c r="C50" i="2"/>
  <c r="C68" i="3" s="1"/>
  <c r="C56" i="3"/>
  <c r="D53" i="3"/>
  <c r="C27" i="2"/>
  <c r="C28" i="2" s="1"/>
  <c r="F59" i="2" s="1"/>
  <c r="C61" i="2"/>
  <c r="E63" i="3"/>
  <c r="C75" i="3"/>
  <c r="E17" i="1"/>
  <c r="E16" i="1" s="1"/>
  <c r="E100" i="1" s="1"/>
  <c r="G120" i="1"/>
  <c r="K24" i="4"/>
  <c r="L24" i="4" s="1"/>
  <c r="M24" i="4" s="1"/>
  <c r="N24" i="4" s="1"/>
  <c r="E6" i="1"/>
  <c r="E195" i="1" s="1"/>
  <c r="E199" i="1" s="1"/>
  <c r="E206" i="1" s="1"/>
  <c r="E44" i="1" s="1"/>
  <c r="F120" i="1"/>
  <c r="H120" i="1"/>
  <c r="I120" i="1"/>
  <c r="C89" i="1"/>
  <c r="F12" i="1"/>
  <c r="G105" i="1"/>
  <c r="G12" i="1" s="1"/>
  <c r="C207" i="1"/>
  <c r="E181" i="1"/>
  <c r="E185" i="1" s="1"/>
  <c r="D19" i="1"/>
  <c r="C18" i="2"/>
  <c r="D89" i="1"/>
  <c r="I105" i="1"/>
  <c r="I12" i="1" s="1"/>
  <c r="H105" i="1"/>
  <c r="H12" i="1" s="1"/>
  <c r="C28" i="1"/>
  <c r="H38" i="4" s="1"/>
  <c r="E174" i="1"/>
  <c r="F40" i="7" l="1"/>
  <c r="G40" i="7"/>
  <c r="J45" i="7" s="1"/>
  <c r="K45" i="7" s="1"/>
  <c r="E40" i="7"/>
  <c r="J44" i="7" s="1"/>
  <c r="K44" i="7" s="1"/>
  <c r="C29" i="2"/>
  <c r="L148" i="3"/>
  <c r="C48" i="2"/>
  <c r="C60" i="2"/>
  <c r="C49" i="2"/>
  <c r="C59" i="2"/>
  <c r="E56" i="3"/>
  <c r="E75" i="3"/>
  <c r="F97" i="3"/>
  <c r="M97" i="3" s="1"/>
  <c r="F58" i="2"/>
  <c r="C77" i="3"/>
  <c r="F204" i="1"/>
  <c r="G201" i="1" s="1"/>
  <c r="E72" i="1"/>
  <c r="E121" i="1" s="1"/>
  <c r="K23" i="4"/>
  <c r="E27" i="1"/>
  <c r="E145" i="1" s="1"/>
  <c r="E187" i="1"/>
  <c r="E188" i="1" s="1"/>
  <c r="E63" i="1" s="1"/>
  <c r="E7" i="1"/>
  <c r="E8" i="1" s="1"/>
  <c r="E213" i="1"/>
  <c r="E212" i="1"/>
  <c r="E216" i="1"/>
  <c r="E159" i="1"/>
  <c r="E128" i="1" s="1"/>
  <c r="E131" i="1"/>
  <c r="E10" i="1"/>
  <c r="E175" i="1"/>
  <c r="E11" i="1"/>
  <c r="F180" i="1"/>
  <c r="F182" i="1" s="1"/>
  <c r="F144" i="1" s="1"/>
  <c r="C6" i="3"/>
  <c r="D22" i="1"/>
  <c r="D28" i="1" s="1"/>
  <c r="D207" i="1"/>
  <c r="C31" i="1"/>
  <c r="C98" i="1"/>
  <c r="C111" i="1" s="1"/>
  <c r="C123" i="1" s="1"/>
  <c r="C150" i="1" s="1"/>
  <c r="C153" i="1" s="1"/>
  <c r="F169" i="1"/>
  <c r="F171" i="1" s="1"/>
  <c r="E42" i="1"/>
  <c r="E14" i="1" l="1"/>
  <c r="C38" i="3"/>
  <c r="C68" i="2"/>
  <c r="C36" i="3" s="1"/>
  <c r="F63" i="2"/>
  <c r="G59" i="2" s="1"/>
  <c r="C30" i="2"/>
  <c r="E136" i="1"/>
  <c r="G203" i="1"/>
  <c r="G204" i="1" s="1"/>
  <c r="H201" i="1" s="1"/>
  <c r="H203" i="1" s="1"/>
  <c r="D98" i="1"/>
  <c r="D111" i="1" s="1"/>
  <c r="D123" i="1" s="1"/>
  <c r="D150" i="1" s="1"/>
  <c r="D153" i="1" s="1"/>
  <c r="E152" i="1" s="1"/>
  <c r="E243" i="1" s="1"/>
  <c r="I38" i="4"/>
  <c r="L23" i="4"/>
  <c r="F6" i="1"/>
  <c r="F195" i="1" s="1"/>
  <c r="E25" i="1"/>
  <c r="E108" i="1" s="1"/>
  <c r="E51" i="1"/>
  <c r="E119" i="1" s="1"/>
  <c r="E222" i="1"/>
  <c r="E224" i="1" s="1"/>
  <c r="E52" i="1" s="1"/>
  <c r="E163" i="1"/>
  <c r="E41" i="1" s="1"/>
  <c r="F194" i="1"/>
  <c r="E70" i="1"/>
  <c r="E75" i="1" s="1"/>
  <c r="E189" i="1"/>
  <c r="D31" i="1"/>
  <c r="F185" i="1"/>
  <c r="F187" i="1" s="1"/>
  <c r="F174" i="1"/>
  <c r="F18" i="1"/>
  <c r="E19" i="1" l="1"/>
  <c r="C39" i="3"/>
  <c r="C40" i="3" s="1"/>
  <c r="J105" i="4"/>
  <c r="D32" i="1"/>
  <c r="C5" i="3"/>
  <c r="C7" i="3" s="1"/>
  <c r="C69" i="2"/>
  <c r="C31" i="2"/>
  <c r="C71" i="2"/>
  <c r="G58" i="2"/>
  <c r="F175" i="1"/>
  <c r="F196" i="1"/>
  <c r="F199" i="1" s="1"/>
  <c r="F206" i="1" s="1"/>
  <c r="F44" i="1" s="1"/>
  <c r="F72" i="1"/>
  <c r="F121" i="1" s="1"/>
  <c r="F216" i="1"/>
  <c r="F10" i="1"/>
  <c r="F11" i="1"/>
  <c r="F213" i="1"/>
  <c r="F212" i="1"/>
  <c r="F131" i="1"/>
  <c r="F7" i="1"/>
  <c r="F159" i="1"/>
  <c r="F128" i="1" s="1"/>
  <c r="M23" i="4"/>
  <c r="G6" i="1"/>
  <c r="E235" i="1"/>
  <c r="G180" i="1"/>
  <c r="G182" i="1" s="1"/>
  <c r="G185" i="1" s="1"/>
  <c r="G187" i="1" s="1"/>
  <c r="E48" i="1"/>
  <c r="E117" i="1"/>
  <c r="E164" i="1"/>
  <c r="F158" i="1"/>
  <c r="F160" i="1" s="1"/>
  <c r="C19" i="2"/>
  <c r="F27" i="1"/>
  <c r="F188" i="1"/>
  <c r="F63" i="1" s="1"/>
  <c r="G169" i="1"/>
  <c r="F42" i="1"/>
  <c r="E207" i="1" l="1"/>
  <c r="E22" i="1"/>
  <c r="E28" i="1" s="1"/>
  <c r="E98" i="1" s="1"/>
  <c r="G63" i="2"/>
  <c r="F17" i="1"/>
  <c r="F16" i="1" s="1"/>
  <c r="F100" i="1" s="1"/>
  <c r="H204" i="1"/>
  <c r="I201" i="1" s="1"/>
  <c r="I203" i="1" s="1"/>
  <c r="F222" i="1"/>
  <c r="F224" i="1" s="1"/>
  <c r="F52" i="1" s="1"/>
  <c r="G72" i="1"/>
  <c r="G121" i="1" s="1"/>
  <c r="G216" i="1"/>
  <c r="G7" i="1"/>
  <c r="G212" i="1"/>
  <c r="G11" i="1"/>
  <c r="G195" i="1"/>
  <c r="G131" i="1" s="1"/>
  <c r="G213" i="1"/>
  <c r="G159" i="1"/>
  <c r="G128" i="1" s="1"/>
  <c r="G10" i="1"/>
  <c r="N23" i="4"/>
  <c r="I6" i="1" s="1"/>
  <c r="K6" i="1" s="1"/>
  <c r="L6" i="1" s="1"/>
  <c r="H6" i="1"/>
  <c r="F8" i="1"/>
  <c r="F14" i="1" s="1"/>
  <c r="F51" i="1"/>
  <c r="F119" i="1" s="1"/>
  <c r="F136" i="1"/>
  <c r="F229" i="1"/>
  <c r="F234" i="1" s="1"/>
  <c r="F113" i="1" s="1"/>
  <c r="E64" i="1"/>
  <c r="E67" i="1" s="1"/>
  <c r="E77" i="1" s="1"/>
  <c r="H180" i="1"/>
  <c r="H182" i="1" s="1"/>
  <c r="H185" i="1" s="1"/>
  <c r="H187" i="1" s="1"/>
  <c r="F163" i="1"/>
  <c r="F164" i="1" s="1"/>
  <c r="F145" i="1"/>
  <c r="F189" i="1"/>
  <c r="F70" i="1"/>
  <c r="F75" i="1" s="1"/>
  <c r="G144" i="1"/>
  <c r="G27" i="1"/>
  <c r="G188" i="1"/>
  <c r="G63" i="1" s="1"/>
  <c r="G171" i="1"/>
  <c r="G18" i="1" s="1"/>
  <c r="G175" i="1"/>
  <c r="E30" i="1" l="1"/>
  <c r="E31" i="1" s="1"/>
  <c r="E32" i="1" s="1"/>
  <c r="I204" i="1"/>
  <c r="F117" i="1"/>
  <c r="F19" i="1"/>
  <c r="G136" i="1"/>
  <c r="G222" i="1"/>
  <c r="H72" i="1"/>
  <c r="H121" i="1" s="1"/>
  <c r="H10" i="1"/>
  <c r="H213" i="1"/>
  <c r="H159" i="1"/>
  <c r="H128" i="1" s="1"/>
  <c r="H212" i="1"/>
  <c r="H7" i="1"/>
  <c r="H195" i="1"/>
  <c r="H131" i="1" s="1"/>
  <c r="H216" i="1"/>
  <c r="H11" i="1"/>
  <c r="G51" i="1"/>
  <c r="G119" i="1" s="1"/>
  <c r="G8" i="1"/>
  <c r="G14" i="1" s="1"/>
  <c r="I72" i="1"/>
  <c r="I7" i="1"/>
  <c r="I216" i="1"/>
  <c r="I212" i="1"/>
  <c r="I10" i="1"/>
  <c r="I11" i="1"/>
  <c r="I213" i="1"/>
  <c r="I195" i="1"/>
  <c r="I131" i="1" s="1"/>
  <c r="I159" i="1"/>
  <c r="I128" i="1" s="1"/>
  <c r="G194" i="1"/>
  <c r="F230" i="1"/>
  <c r="F231" i="1"/>
  <c r="F26" i="1" s="1"/>
  <c r="F25" i="1" s="1"/>
  <c r="F108" i="1" s="1"/>
  <c r="F41" i="1"/>
  <c r="F48" i="1" s="1"/>
  <c r="G158" i="1"/>
  <c r="G160" i="1" s="1"/>
  <c r="G145" i="1"/>
  <c r="G70" i="1"/>
  <c r="G75" i="1" s="1"/>
  <c r="G189" i="1"/>
  <c r="H27" i="1"/>
  <c r="H144" i="1"/>
  <c r="E111" i="1"/>
  <c r="G174" i="1"/>
  <c r="H169" i="1" s="1"/>
  <c r="F207" i="1" l="1"/>
  <c r="E114" i="1"/>
  <c r="E123" i="1" s="1"/>
  <c r="F244" i="1"/>
  <c r="E99" i="3" s="1"/>
  <c r="F99" i="3" s="1"/>
  <c r="E82" i="1"/>
  <c r="E85" i="1" s="1"/>
  <c r="E87" i="1" s="1"/>
  <c r="H136" i="1"/>
  <c r="I136" i="1"/>
  <c r="I121" i="1"/>
  <c r="H222" i="1"/>
  <c r="H224" i="1" s="1"/>
  <c r="H52" i="1" s="1"/>
  <c r="F22" i="1"/>
  <c r="F28" i="1" s="1"/>
  <c r="F30" i="1" s="1"/>
  <c r="F114" i="1" s="1"/>
  <c r="G196" i="1"/>
  <c r="I222" i="1"/>
  <c r="H8" i="1"/>
  <c r="H14" i="1" s="1"/>
  <c r="H51" i="1"/>
  <c r="H119" i="1" s="1"/>
  <c r="I51" i="1"/>
  <c r="I8" i="1"/>
  <c r="G224" i="1"/>
  <c r="G52" i="1" s="1"/>
  <c r="G117" i="1"/>
  <c r="F235" i="1"/>
  <c r="G229" i="1" s="1"/>
  <c r="F101" i="1"/>
  <c r="G163" i="1"/>
  <c r="H158" i="1" s="1"/>
  <c r="H160" i="1" s="1"/>
  <c r="I180" i="1"/>
  <c r="I182" i="1" s="1"/>
  <c r="H70" i="1"/>
  <c r="H75" i="1" s="1"/>
  <c r="H145" i="1"/>
  <c r="G42" i="1"/>
  <c r="H175" i="1"/>
  <c r="H171" i="1"/>
  <c r="M99" i="3" l="1"/>
  <c r="I14" i="1"/>
  <c r="H117" i="1"/>
  <c r="G17" i="1"/>
  <c r="G16" i="1" s="1"/>
  <c r="G19" i="1" s="1"/>
  <c r="G199" i="1"/>
  <c r="G206" i="1" s="1"/>
  <c r="G44" i="1" s="1"/>
  <c r="I119" i="1"/>
  <c r="I117" i="1"/>
  <c r="I224" i="1"/>
  <c r="I52" i="1" s="1"/>
  <c r="F64" i="1"/>
  <c r="F67" i="1" s="1"/>
  <c r="F77" i="1" s="1"/>
  <c r="F98" i="1"/>
  <c r="G234" i="1"/>
  <c r="G113" i="1" s="1"/>
  <c r="G230" i="1"/>
  <c r="G101" i="1" s="1"/>
  <c r="G231" i="1"/>
  <c r="G26" i="1" s="1"/>
  <c r="G25" i="1" s="1"/>
  <c r="G108" i="1" s="1"/>
  <c r="G41" i="1"/>
  <c r="G164" i="1"/>
  <c r="H188" i="1"/>
  <c r="H63" i="1" s="1"/>
  <c r="F31" i="1"/>
  <c r="F32" i="1" s="1"/>
  <c r="H189" i="1"/>
  <c r="I185" i="1"/>
  <c r="I144" i="1"/>
  <c r="H174" i="1"/>
  <c r="H18" i="1"/>
  <c r="H163" i="1"/>
  <c r="G22" i="1" l="1"/>
  <c r="G28" i="1" s="1"/>
  <c r="G98" i="1" s="1"/>
  <c r="C23" i="3"/>
  <c r="I187" i="1"/>
  <c r="I188" i="1" s="1"/>
  <c r="I63" i="1" s="1"/>
  <c r="C66" i="3"/>
  <c r="D66" i="3"/>
  <c r="G100" i="1"/>
  <c r="H194" i="1"/>
  <c r="H196" i="1" s="1"/>
  <c r="G207" i="1"/>
  <c r="G48" i="1"/>
  <c r="G235" i="1"/>
  <c r="C46" i="3"/>
  <c r="C26" i="3"/>
  <c r="F82" i="1"/>
  <c r="F85" i="1" s="1"/>
  <c r="F87" i="1" s="1"/>
  <c r="F111" i="1"/>
  <c r="F123" i="1" s="1"/>
  <c r="I27" i="1"/>
  <c r="I169" i="1"/>
  <c r="H42" i="1"/>
  <c r="H164" i="1"/>
  <c r="H41" i="1"/>
  <c r="I158" i="1"/>
  <c r="I160" i="1" s="1"/>
  <c r="C64" i="3" l="1"/>
  <c r="C65" i="3"/>
  <c r="C44" i="3"/>
  <c r="D65" i="3"/>
  <c r="D64" i="3"/>
  <c r="E128" i="3"/>
  <c r="E66" i="3"/>
  <c r="H17" i="1"/>
  <c r="H16" i="1" s="1"/>
  <c r="H199" i="1"/>
  <c r="H206" i="1" s="1"/>
  <c r="H44" i="1" s="1"/>
  <c r="G30" i="1"/>
  <c r="G114" i="1" s="1"/>
  <c r="H229" i="1"/>
  <c r="G64" i="1"/>
  <c r="G67" i="1" s="1"/>
  <c r="G77" i="1" s="1"/>
  <c r="I70" i="1"/>
  <c r="I75" i="1" s="1"/>
  <c r="I189" i="1"/>
  <c r="I145" i="1"/>
  <c r="G111" i="1"/>
  <c r="I175" i="1"/>
  <c r="I171" i="1"/>
  <c r="I18" i="1" s="1"/>
  <c r="I163" i="1"/>
  <c r="E64" i="3" l="1"/>
  <c r="E65" i="3"/>
  <c r="D128" i="3"/>
  <c r="C128" i="3"/>
  <c r="M104" i="3" s="1"/>
  <c r="G128" i="3"/>
  <c r="F128" i="3"/>
  <c r="H19" i="1"/>
  <c r="H100" i="1"/>
  <c r="I194" i="1"/>
  <c r="H48" i="1"/>
  <c r="G123" i="1"/>
  <c r="G31" i="1"/>
  <c r="G32" i="1" s="1"/>
  <c r="H234" i="1"/>
  <c r="H113" i="1" s="1"/>
  <c r="H230" i="1"/>
  <c r="H101" i="1" s="1"/>
  <c r="H231" i="1"/>
  <c r="H26" i="1" s="1"/>
  <c r="H25" i="1" s="1"/>
  <c r="H108" i="1" s="1"/>
  <c r="I174" i="1"/>
  <c r="I42" i="1" s="1"/>
  <c r="I164" i="1"/>
  <c r="I41" i="1"/>
  <c r="H22" i="1" l="1"/>
  <c r="H28" i="1" s="1"/>
  <c r="H207" i="1"/>
  <c r="I196" i="1"/>
  <c r="G82" i="1"/>
  <c r="G85" i="1" s="1"/>
  <c r="G87" i="1" s="1"/>
  <c r="H235" i="1"/>
  <c r="I229" i="1" s="1"/>
  <c r="I199" i="1" l="1"/>
  <c r="I206" i="1" s="1"/>
  <c r="I44" i="1" s="1"/>
  <c r="I48" i="1" s="1"/>
  <c r="I17" i="1"/>
  <c r="I16" i="1" s="1"/>
  <c r="H64" i="1"/>
  <c r="H67" i="1" s="1"/>
  <c r="H77" i="1" s="1"/>
  <c r="I230" i="1"/>
  <c r="I101" i="1" s="1"/>
  <c r="I231" i="1"/>
  <c r="I26" i="1" s="1"/>
  <c r="I25" i="1" s="1"/>
  <c r="I108" i="1" s="1"/>
  <c r="I234" i="1"/>
  <c r="I113" i="1" s="1"/>
  <c r="H30" i="1"/>
  <c r="H98" i="1"/>
  <c r="H111" i="1" s="1"/>
  <c r="I19" i="1" l="1"/>
  <c r="I100" i="1"/>
  <c r="I235" i="1"/>
  <c r="I64" i="1" s="1"/>
  <c r="I67" i="1" s="1"/>
  <c r="I77" i="1" s="1"/>
  <c r="H114" i="1"/>
  <c r="H123" i="1" s="1"/>
  <c r="H31" i="1"/>
  <c r="H32" i="1" s="1"/>
  <c r="I207" i="1" l="1"/>
  <c r="I22" i="1"/>
  <c r="I28" i="1" s="1"/>
  <c r="I30" i="1" s="1"/>
  <c r="H82" i="1"/>
  <c r="I98" i="1" l="1"/>
  <c r="I111" i="1" s="1"/>
  <c r="H85" i="1"/>
  <c r="H87" i="1" s="1"/>
  <c r="I31" i="1"/>
  <c r="I114" i="1"/>
  <c r="I82" i="1" l="1"/>
  <c r="I85" i="1" s="1"/>
  <c r="I87" i="1" s="1"/>
  <c r="I32" i="1"/>
  <c r="I123" i="1"/>
  <c r="F148" i="1" l="1"/>
  <c r="F150" i="1" s="1"/>
  <c r="F241" i="1" s="1"/>
  <c r="G148" i="1" l="1"/>
  <c r="G150" i="1" s="1"/>
  <c r="G241" i="1" s="1"/>
  <c r="H148" i="1" l="1"/>
  <c r="H150" i="1" s="1"/>
  <c r="H241" i="1" s="1"/>
  <c r="E148" i="1" l="1"/>
  <c r="I148" i="1"/>
  <c r="I150" i="1" s="1"/>
  <c r="I241" i="1" s="1"/>
  <c r="E150" i="1" l="1"/>
  <c r="E153" i="1" l="1"/>
  <c r="E55" i="1" s="1"/>
  <c r="E56" i="1" s="1"/>
  <c r="E58" i="1" s="1"/>
  <c r="E89" i="1" s="1"/>
  <c r="E241" i="1"/>
  <c r="E245" i="1" s="1"/>
  <c r="F240" i="1" s="1"/>
  <c r="F152" i="1" l="1"/>
  <c r="F153" i="1" s="1"/>
  <c r="F55" i="1" l="1"/>
  <c r="F56" i="1" s="1"/>
  <c r="F58" i="1" s="1"/>
  <c r="F89" i="1" s="1"/>
  <c r="G152" i="1"/>
  <c r="G153" i="1" s="1"/>
  <c r="F242" i="1"/>
  <c r="F243" i="1" l="1"/>
  <c r="F245" i="1" s="1"/>
  <c r="G55" i="1"/>
  <c r="G56" i="1" s="1"/>
  <c r="G58" i="1" s="1"/>
  <c r="G89" i="1" s="1"/>
  <c r="H152" i="1"/>
  <c r="G240" i="1" l="1"/>
  <c r="G242" i="1" s="1"/>
  <c r="G243" i="1" s="1"/>
  <c r="H244" i="1" s="1"/>
  <c r="E101" i="3" s="1"/>
  <c r="G244" i="1"/>
  <c r="E100" i="3" s="1"/>
  <c r="H153" i="1"/>
  <c r="C70" i="2"/>
  <c r="C8" i="3"/>
  <c r="C58" i="2"/>
  <c r="C57" i="3" l="1"/>
  <c r="E57" i="3" s="1"/>
  <c r="F100" i="3"/>
  <c r="F101" i="3"/>
  <c r="G245" i="1"/>
  <c r="H240" i="1" s="1"/>
  <c r="I152" i="1"/>
  <c r="H55" i="1"/>
  <c r="H56" i="1" s="1"/>
  <c r="H58" i="1" s="1"/>
  <c r="H89" i="1" s="1"/>
  <c r="C78" i="2"/>
  <c r="C10" i="3"/>
  <c r="C41" i="3" s="1"/>
  <c r="C42" i="3" s="1"/>
  <c r="C62" i="2"/>
  <c r="C63" i="2" s="1"/>
  <c r="H242" i="1" l="1"/>
  <c r="H243" i="1" s="1"/>
  <c r="H245" i="1" s="1"/>
  <c r="I240" i="1" s="1"/>
  <c r="M101" i="3"/>
  <c r="M100" i="3"/>
  <c r="C79" i="2"/>
  <c r="C91" i="2" s="1"/>
  <c r="C65" i="2"/>
  <c r="I153" i="1"/>
  <c r="I55" i="1" s="1"/>
  <c r="D60" i="2"/>
  <c r="D59" i="2"/>
  <c r="D61" i="2"/>
  <c r="D58" i="2"/>
  <c r="D98" i="3"/>
  <c r="D62" i="2"/>
  <c r="C83" i="2"/>
  <c r="C101" i="2"/>
  <c r="I56" i="1" l="1"/>
  <c r="I58" i="1" s="1"/>
  <c r="I89" i="1" s="1"/>
  <c r="F98" i="3"/>
  <c r="C59" i="3"/>
  <c r="C60" i="3" s="1"/>
  <c r="E60" i="3" s="1"/>
  <c r="L98" i="3"/>
  <c r="E53" i="3"/>
  <c r="I244" i="1"/>
  <c r="E102" i="3" s="1"/>
  <c r="D70" i="3" s="1"/>
  <c r="E70" i="3" s="1"/>
  <c r="I242" i="1"/>
  <c r="I243" i="1" s="1"/>
  <c r="C81" i="3"/>
  <c r="E81" i="3" s="1"/>
  <c r="D63" i="2"/>
  <c r="C80" i="2"/>
  <c r="E59" i="3" l="1"/>
  <c r="M98" i="3"/>
  <c r="F102" i="3"/>
  <c r="D76" i="3"/>
  <c r="D77" i="3" s="1"/>
  <c r="I245" i="1"/>
  <c r="E103" i="3" s="1"/>
  <c r="C81" i="2"/>
  <c r="C84" i="2" s="1"/>
  <c r="C85" i="2" l="1"/>
  <c r="C86" i="2" s="1"/>
  <c r="E76" i="3"/>
  <c r="E77" i="3" s="1"/>
  <c r="M102" i="3"/>
  <c r="D68" i="3"/>
  <c r="C87" i="2" l="1"/>
  <c r="D69" i="3"/>
  <c r="D71" i="3" s="1"/>
  <c r="E68" i="3"/>
  <c r="C89" i="2" l="1"/>
  <c r="C90" i="2" l="1"/>
  <c r="D78" i="2"/>
  <c r="D83" i="2" s="1"/>
  <c r="D79" i="2" l="1"/>
  <c r="D91" i="2" s="1"/>
  <c r="D80" i="2" l="1"/>
  <c r="D81" i="2" s="1"/>
  <c r="D84" i="2" s="1"/>
  <c r="D85" i="2" s="1"/>
  <c r="D86" i="2" s="1"/>
  <c r="D87" i="2" s="1"/>
  <c r="D89" i="2" l="1"/>
  <c r="D90" i="2" l="1"/>
  <c r="E78" i="2"/>
  <c r="E79" i="2" l="1"/>
  <c r="E91" i="2" s="1"/>
  <c r="E83" i="2"/>
  <c r="E80" i="2" l="1"/>
  <c r="E81" i="2" l="1"/>
  <c r="E84" i="2" s="1"/>
  <c r="E85" i="2" s="1"/>
  <c r="E86" i="2" l="1"/>
  <c r="E87" i="2" s="1"/>
  <c r="E89" i="2" l="1"/>
  <c r="E90" i="2" l="1"/>
  <c r="F78" i="2"/>
  <c r="F83" i="2" l="1"/>
  <c r="F79" i="2"/>
  <c r="F91" i="2" s="1"/>
  <c r="F80" i="2" l="1"/>
  <c r="F81" i="2" s="1"/>
  <c r="F84" i="2" s="1"/>
  <c r="F85" i="2" s="1"/>
  <c r="F86" i="2" s="1"/>
  <c r="F87" i="2" s="1"/>
  <c r="F89" i="2" l="1"/>
  <c r="F90" i="2" l="1"/>
  <c r="G78" i="2"/>
  <c r="G79" i="2" l="1"/>
  <c r="G91" i="2" s="1"/>
  <c r="G83" i="2"/>
  <c r="C98" i="2" s="1"/>
  <c r="G80" i="2" l="1"/>
  <c r="C96" i="2" s="1"/>
  <c r="C95" i="2"/>
  <c r="C97" i="2" l="1"/>
  <c r="G81" i="2"/>
  <c r="G84" i="2" s="1"/>
  <c r="G85" i="2" s="1"/>
  <c r="C99" i="2" s="1"/>
  <c r="G86" i="2" l="1"/>
  <c r="G87" i="2" s="1"/>
  <c r="C100" i="2" l="1"/>
  <c r="G89" i="2"/>
  <c r="G90" i="2" l="1"/>
  <c r="C102" i="2"/>
  <c r="C45" i="3"/>
  <c r="C48" i="3" s="1"/>
  <c r="C103" i="2" l="1"/>
  <c r="C25" i="3"/>
  <c r="D103" i="3" l="1"/>
  <c r="L103" i="3"/>
  <c r="C67" i="3"/>
  <c r="C69" i="3" s="1"/>
  <c r="C71" i="3" s="1"/>
  <c r="M103" i="3"/>
  <c r="B129" i="3" s="1"/>
  <c r="D79" i="3" l="1"/>
  <c r="D80" i="3" s="1"/>
  <c r="D82" i="3" s="1"/>
  <c r="F103" i="3"/>
  <c r="E69" i="3"/>
  <c r="E71" i="3"/>
  <c r="C79" i="3"/>
  <c r="C80" i="3" s="1"/>
  <c r="C82" i="3" s="1"/>
  <c r="E67" i="3"/>
  <c r="C31" i="3" l="1"/>
  <c r="B118" i="3"/>
  <c r="E79" i="3"/>
  <c r="E80" i="3" s="1"/>
  <c r="E82" i="3" s="1"/>
</calcChain>
</file>

<file path=xl/sharedStrings.xml><?xml version="1.0" encoding="utf-8"?>
<sst xmlns="http://schemas.openxmlformats.org/spreadsheetml/2006/main" count="952" uniqueCount="681">
  <si>
    <t>Assumptions</t>
  </si>
  <si>
    <t>NSO</t>
  </si>
  <si>
    <t>Variable</t>
  </si>
  <si>
    <t>EBITDA Margin</t>
  </si>
  <si>
    <t>Capex</t>
  </si>
  <si>
    <t>Income Statement</t>
  </si>
  <si>
    <t>Revenue</t>
  </si>
  <si>
    <t>COGS</t>
  </si>
  <si>
    <t>Gross Profit</t>
  </si>
  <si>
    <t>EBITDA</t>
  </si>
  <si>
    <t>S&amp;A Expense</t>
  </si>
  <si>
    <t>G&amp;A Expense</t>
  </si>
  <si>
    <t>D&amp;A</t>
  </si>
  <si>
    <t>EBIT</t>
  </si>
  <si>
    <t>Other Income</t>
  </si>
  <si>
    <t>Loss/Gain due to Hyperinflation</t>
  </si>
  <si>
    <t>Impairment losses</t>
  </si>
  <si>
    <t>Operating Profit</t>
  </si>
  <si>
    <t>Profit before Tax</t>
  </si>
  <si>
    <t>Income taxes and Zakat</t>
  </si>
  <si>
    <t>Net Profit</t>
  </si>
  <si>
    <t>Base</t>
  </si>
  <si>
    <t>Bear</t>
  </si>
  <si>
    <t>COGS (% of revenue)</t>
  </si>
  <si>
    <t>G&amp;A Expense (% of revenue)</t>
  </si>
  <si>
    <t>S&amp;A Expense (% of revenue)</t>
  </si>
  <si>
    <t>Effective Income Tax Rate</t>
  </si>
  <si>
    <t>Balance Sheet</t>
  </si>
  <si>
    <t>Non-Current Assets</t>
  </si>
  <si>
    <t>ASSETS</t>
  </si>
  <si>
    <t>Right of Use Assets</t>
  </si>
  <si>
    <t>Property and Equipment</t>
  </si>
  <si>
    <t>Intangibles</t>
  </si>
  <si>
    <t>Trade and other Receivables</t>
  </si>
  <si>
    <t>Long term Deposits with Banks</t>
  </si>
  <si>
    <t>Deferred Tax Asset</t>
  </si>
  <si>
    <t>Current Assets</t>
  </si>
  <si>
    <t>Inventories</t>
  </si>
  <si>
    <t>Due from Related Parties</t>
  </si>
  <si>
    <t>Short Term Deposits with Banks</t>
  </si>
  <si>
    <t>Cash and Cash Equivalents</t>
  </si>
  <si>
    <t>Total Assets</t>
  </si>
  <si>
    <t>LIABILITIES AND EQUITY</t>
  </si>
  <si>
    <t>Non-Current Liabilities</t>
  </si>
  <si>
    <t>Lease Liabilities</t>
  </si>
  <si>
    <t>Provision for Employee's EOSB</t>
  </si>
  <si>
    <t>Trade and other Payables</t>
  </si>
  <si>
    <t>Deferred tax Liabilities</t>
  </si>
  <si>
    <t>Current Liabilities</t>
  </si>
  <si>
    <t>Income tax, zakat, other deductions payable</t>
  </si>
  <si>
    <t>Due to related parties</t>
  </si>
  <si>
    <t>Provisions for legal, tax and other claims</t>
  </si>
  <si>
    <t>Total Liabilities</t>
  </si>
  <si>
    <t>Equity</t>
  </si>
  <si>
    <t>Share Capital</t>
  </si>
  <si>
    <t>Treasury Shares</t>
  </si>
  <si>
    <t>Retained Earnings</t>
  </si>
  <si>
    <t>Other Reserves</t>
  </si>
  <si>
    <t>NCI</t>
  </si>
  <si>
    <t>Total Equity</t>
  </si>
  <si>
    <t>Total Liabilities and Equity</t>
  </si>
  <si>
    <t>Trade Receivables</t>
  </si>
  <si>
    <t>Other Receivables</t>
  </si>
  <si>
    <t>Investment Property</t>
  </si>
  <si>
    <t>Prepaid Expense</t>
  </si>
  <si>
    <t>Advances to Suppliers</t>
  </si>
  <si>
    <t>Refundable Deposits</t>
  </si>
  <si>
    <t>Accrued Income</t>
  </si>
  <si>
    <t>Insurance receivables</t>
  </si>
  <si>
    <t>Staff Receivables</t>
  </si>
  <si>
    <t>VAT receivable</t>
  </si>
  <si>
    <t>Others</t>
  </si>
  <si>
    <t>AR Days</t>
  </si>
  <si>
    <t>Inventory Days</t>
  </si>
  <si>
    <t>Accrued income (% of revenue)</t>
  </si>
  <si>
    <t>Total Trade and Other Receivables</t>
  </si>
  <si>
    <t>Non Current Portion</t>
  </si>
  <si>
    <t>Current Portion</t>
  </si>
  <si>
    <t>Trade and Other Receivables Schedule</t>
  </si>
  <si>
    <t>Opening Balance</t>
  </si>
  <si>
    <t>Closing Balance</t>
  </si>
  <si>
    <t>Depreciation</t>
  </si>
  <si>
    <t>Additions</t>
  </si>
  <si>
    <t>PPE Capex</t>
  </si>
  <si>
    <t>Other Adjustments</t>
  </si>
  <si>
    <t>Disposals</t>
  </si>
  <si>
    <t>Non-RoU Assets</t>
  </si>
  <si>
    <t>RoU Assets</t>
  </si>
  <si>
    <t>Adjusted PPE as a % of Revenue</t>
  </si>
  <si>
    <t>Opening Net PPE</t>
  </si>
  <si>
    <t>Adjusted Intangibles as a % of Revenue</t>
  </si>
  <si>
    <t>Amortisation</t>
  </si>
  <si>
    <t>PPE Capex (% of revenue)</t>
  </si>
  <si>
    <t>Intangibles Capex (% of revenue)</t>
  </si>
  <si>
    <t>Amortization (% of Opening balance)</t>
  </si>
  <si>
    <t>Depreciation (% of Opening PPE)</t>
  </si>
  <si>
    <t>Lease Liability</t>
  </si>
  <si>
    <t>Terminations</t>
  </si>
  <si>
    <t>Adjustments</t>
  </si>
  <si>
    <t>Addition to RoU per NSO</t>
  </si>
  <si>
    <t>Depreciation (% of Opening Balance)</t>
  </si>
  <si>
    <t>% of revenue</t>
  </si>
  <si>
    <t>Principal Payment</t>
  </si>
  <si>
    <t>Current portion</t>
  </si>
  <si>
    <t>Non-Current portion</t>
  </si>
  <si>
    <t>Finance Income</t>
  </si>
  <si>
    <t>Finance Costs</t>
  </si>
  <si>
    <t>Lease Finance Costs</t>
  </si>
  <si>
    <t>Non Lease Finance Costs</t>
  </si>
  <si>
    <t>Cash Flow Statement</t>
  </si>
  <si>
    <t>Depreciation and Amortisation</t>
  </si>
  <si>
    <t>EOSB</t>
  </si>
  <si>
    <t>Provision for obsolete inventory</t>
  </si>
  <si>
    <t>Impairment of non-financial assets</t>
  </si>
  <si>
    <t>Impairment Allowance for financial assets</t>
  </si>
  <si>
    <t>Loss on disposal of PPE and intangible assets</t>
  </si>
  <si>
    <t>Employee Benefit expense - share based payments</t>
  </si>
  <si>
    <t>Hyperinflation Impact</t>
  </si>
  <si>
    <t>Adjustments:</t>
  </si>
  <si>
    <t>Operating Cash Flows before WC changes</t>
  </si>
  <si>
    <t>Payments of Employee EOSB</t>
  </si>
  <si>
    <t>Income tax, zakat paid</t>
  </si>
  <si>
    <t>Due from related parties</t>
  </si>
  <si>
    <t>Inventory</t>
  </si>
  <si>
    <t>Trade and other payables, other liabilities and taxes</t>
  </si>
  <si>
    <t>Net Cash from Operating Activities</t>
  </si>
  <si>
    <t>Cash Flow from Investing Activities</t>
  </si>
  <si>
    <t>(Increase) / decrease in term deposits with original maturity of more than three months</t>
  </si>
  <si>
    <t>Purchase of property and equipment</t>
  </si>
  <si>
    <t>Proceeds from sale of property and equipment</t>
  </si>
  <si>
    <t>Purchase of investment properties</t>
  </si>
  <si>
    <t>Purchase of intangible assets</t>
  </si>
  <si>
    <t>Payments for key money</t>
  </si>
  <si>
    <t>Interest received on term deposits and cash at banks</t>
  </si>
  <si>
    <t>Acquisition of a subsidiary</t>
  </si>
  <si>
    <t>Net Cash used in Investing Activities</t>
  </si>
  <si>
    <t>Cash Flows from Financing Activities</t>
  </si>
  <si>
    <t>Dividends paid to shareholders</t>
  </si>
  <si>
    <t>Payment of finance costs</t>
  </si>
  <si>
    <t>Dividends paid to non-controlling interests</t>
  </si>
  <si>
    <t>Acquisition of additional shares in subsidiary from NCI</t>
  </si>
  <si>
    <t>Lease payments - principal</t>
  </si>
  <si>
    <t>Lease payments – interest on lease liabilities</t>
  </si>
  <si>
    <t>Acquisition of treasury shares</t>
  </si>
  <si>
    <t>Net cash used in Financing Activities</t>
  </si>
  <si>
    <t>Net increase in cash  and cash equivalents</t>
  </si>
  <si>
    <t>Foreign currency translation differences</t>
  </si>
  <si>
    <t>Cash and cash equivalents at the beginning of the year</t>
  </si>
  <si>
    <t>Cash and cash equivalents at the end of the year</t>
  </si>
  <si>
    <t>Profit before income tax and zakat for the year</t>
  </si>
  <si>
    <t>Sources and Uses - Americana Restaurants LBO</t>
  </si>
  <si>
    <t>AED/USD exchange rate</t>
  </si>
  <si>
    <t>Shares Outstanding</t>
  </si>
  <si>
    <t>Adeptio current ownership</t>
  </si>
  <si>
    <t>Float to be acquired</t>
  </si>
  <si>
    <t>Transaction costs</t>
  </si>
  <si>
    <t>LBO Debt/EBITDA</t>
  </si>
  <si>
    <t xml:space="preserve">Interest rate </t>
  </si>
  <si>
    <t>Annual amortisation rate</t>
  </si>
  <si>
    <t>Derived Calculations</t>
  </si>
  <si>
    <t>Float shares to acquire</t>
  </si>
  <si>
    <t>Min. operating cash retained ($ 000s)</t>
  </si>
  <si>
    <t>FY25 EBITDA (actuals in $ 000s)</t>
  </si>
  <si>
    <t>Float acquisition cost ($ 000s)</t>
  </si>
  <si>
    <t>Transaction costs ($ 000s)</t>
  </si>
  <si>
    <t>ST Deposits swept</t>
  </si>
  <si>
    <t>LT Deposits swept</t>
  </si>
  <si>
    <t>Net LBO debt drawn ($ 000s)</t>
  </si>
  <si>
    <t>Adeptio equity required ($ 000s)</t>
  </si>
  <si>
    <t>Sources</t>
  </si>
  <si>
    <t>Item</t>
  </si>
  <si>
    <t>$ 000s</t>
  </si>
  <si>
    <t>% of total</t>
  </si>
  <si>
    <t>LBO Debt drawn</t>
  </si>
  <si>
    <t>Excess Operating Cash swept</t>
  </si>
  <si>
    <t xml:space="preserve">Adeptio equity </t>
  </si>
  <si>
    <t>Uses</t>
  </si>
  <si>
    <t>Float Acquisition cost</t>
  </si>
  <si>
    <t>Total Uses</t>
  </si>
  <si>
    <t>Total Sources</t>
  </si>
  <si>
    <t>Sources = Uses Check</t>
  </si>
  <si>
    <t>Metrics</t>
  </si>
  <si>
    <t>Entry EV ($ 000s)</t>
  </si>
  <si>
    <t>Entry EV/EBITDA</t>
  </si>
  <si>
    <t>(LBO Debt + Leases) /EBITDA</t>
  </si>
  <si>
    <t>Current Share Price in AED</t>
  </si>
  <si>
    <t>Tender Premium</t>
  </si>
  <si>
    <t>Debt Schedule</t>
  </si>
  <si>
    <t>Term Loan B</t>
  </si>
  <si>
    <t>Gross Interest Expense</t>
  </si>
  <si>
    <t>Tax Rate</t>
  </si>
  <si>
    <t>Net Interest (after tax)</t>
  </si>
  <si>
    <t>FCF available for sweep</t>
  </si>
  <si>
    <t>Cash Sweep</t>
  </si>
  <si>
    <t>Total Debt repaid</t>
  </si>
  <si>
    <t>Total debt repaid</t>
  </si>
  <si>
    <t>Cumulative Summary</t>
  </si>
  <si>
    <t>Total gross interest paid</t>
  </si>
  <si>
    <t>Total tax shield</t>
  </si>
  <si>
    <t>Total Net Interest</t>
  </si>
  <si>
    <t>Total Mandatory Amortization</t>
  </si>
  <si>
    <t>Total Cash Swept</t>
  </si>
  <si>
    <t>Opening Balance of Debt</t>
  </si>
  <si>
    <t>Closing Balance of Debt in 2030</t>
  </si>
  <si>
    <t>% of Debt repaid</t>
  </si>
  <si>
    <t>Returns Analysis - Americana Restaurants LBO</t>
  </si>
  <si>
    <t>Entry Assumptions</t>
  </si>
  <si>
    <t>Entry EBITDA - 2025 ($ 000s)</t>
  </si>
  <si>
    <t>LBO Debt at Entry ($ 000s)</t>
  </si>
  <si>
    <t>Adeptio Equity contribution ($ 000s)</t>
  </si>
  <si>
    <t>IPO Proceeds (Dec 2022)</t>
  </si>
  <si>
    <t>Exit Assumptions</t>
  </si>
  <si>
    <t>Exit year</t>
  </si>
  <si>
    <t>Exit EBITDA ($ 000s)</t>
  </si>
  <si>
    <t>LBO Debt at exit ($ 000s)</t>
  </si>
  <si>
    <t>Lease Liabilitiies at exit ($ 000s)</t>
  </si>
  <si>
    <t>Minimum Cash Retained ($ 000s)</t>
  </si>
  <si>
    <t>Event</t>
  </si>
  <si>
    <t>Date</t>
  </si>
  <si>
    <t>LBO</t>
  </si>
  <si>
    <t>MTO acquisition (Jan 2017)</t>
  </si>
  <si>
    <t>Initial acquisition (Oct 2016)</t>
  </si>
  <si>
    <t>IPO proceeds (Dec 2022)</t>
  </si>
  <si>
    <t>Exit equity proceeds (2030E)</t>
  </si>
  <si>
    <t>Exit EV/EBITDA ($ 000s)</t>
  </si>
  <si>
    <t>Dividend for 2022</t>
  </si>
  <si>
    <t>Dividend for 2023</t>
  </si>
  <si>
    <t>Dividend for 2024</t>
  </si>
  <si>
    <t>Dividend for 2025</t>
  </si>
  <si>
    <t>Dividend for 2026</t>
  </si>
  <si>
    <t>Dividend for 2027</t>
  </si>
  <si>
    <t>Dividend for 2028</t>
  </si>
  <si>
    <t>Dividend for 2029</t>
  </si>
  <si>
    <t>Dividend for 2021</t>
  </si>
  <si>
    <t>Dividend for 2020</t>
  </si>
  <si>
    <t>Dividend for 2019</t>
  </si>
  <si>
    <t>Dividend for 2018</t>
  </si>
  <si>
    <t>Growth rate scenario</t>
  </si>
  <si>
    <t>LFL rate</t>
  </si>
  <si>
    <t>Bull</t>
  </si>
  <si>
    <t>Incremental</t>
  </si>
  <si>
    <t>(-) Lease Liabilities at entry</t>
  </si>
  <si>
    <t>(+) Cash at entry</t>
  </si>
  <si>
    <t>(-) LBO Debt at exit</t>
  </si>
  <si>
    <t>(-) Lease Liabilities at exit</t>
  </si>
  <si>
    <t>Exit Equity to Adeptio</t>
  </si>
  <si>
    <t>(+) Cash at exit</t>
  </si>
  <si>
    <t xml:space="preserve">Exit EV </t>
  </si>
  <si>
    <t xml:space="preserve">Entry EV </t>
  </si>
  <si>
    <t>Holding Listed
(2)</t>
  </si>
  <si>
    <t>(1)-(2)</t>
  </si>
  <si>
    <t>Adeptio Initial acquisition equity cost (Oct 2016) ($ 000s)</t>
  </si>
  <si>
    <t>Adeptio MTO equity cost (Jan 2017) ($ 000s)</t>
  </si>
  <si>
    <t>$1.5 billion was financed using debt, total value of deal was $2.35b</t>
  </si>
  <si>
    <t>LBO entry equity</t>
  </si>
  <si>
    <t>Scenario Toggle</t>
  </si>
  <si>
    <t>Changes in WC:</t>
  </si>
  <si>
    <t>NSO (Organic)</t>
  </si>
  <si>
    <t>Stores Acquired</t>
  </si>
  <si>
    <t>Operating Expenses</t>
  </si>
  <si>
    <t>Financing and Tax</t>
  </si>
  <si>
    <t>Excess cash and deposits swept at LBO entry. Interest income is likely to be immaterial</t>
  </si>
  <si>
    <t>Non-Lease Finance Costs</t>
  </si>
  <si>
    <t>Frozen, immaterial and would add unnecessary complexity to model</t>
  </si>
  <si>
    <t>Due to Hyperinflation and Forex movements which are of a non-operating nature. Assumed to be zero</t>
  </si>
  <si>
    <t xml:space="preserve">Investment Property </t>
  </si>
  <si>
    <t>RoU asset terminations held constant at the 2025 actual of $7,179k per annum. No reliable driver identified as terminations reflect opportunistic lease exits and store closures which are not predictable from store count or expansion assumptions.</t>
  </si>
  <si>
    <t xml:space="preserve">Intangibles  </t>
  </si>
  <si>
    <t>Held at 2025 levels due to immateriality.</t>
  </si>
  <si>
    <t>Trade and Other Receivables</t>
  </si>
  <si>
    <t>Held at 2025 closing balance due to lack of identifiable drivers. Will vary based on vendor negotiation. Immaterial</t>
  </si>
  <si>
    <t>Held at 2025 closing balance. Driven by HR policy. Immaterial</t>
  </si>
  <si>
    <t>Held at 2025 closing balance. Recovery timing varies across jurisdictions. No reliable driver given presence in multiple markets. Immaterial</t>
  </si>
  <si>
    <t>Residuals with no single identifiable driver. Immaterial</t>
  </si>
  <si>
    <t>Data available only post 2023, frozen value reflects 2023 and 2024 levels. Spike in 2025 considered timing-driven and not structural</t>
  </si>
  <si>
    <t>Additions and Terminations equal to RoU asset movements. See RoU assumptions above</t>
  </si>
  <si>
    <t>Trade and Other Payables</t>
  </si>
  <si>
    <t>Held at 2025 closing balance. Cannot be reliably estimated without tax base data. Immaterial</t>
  </si>
  <si>
    <t>Held at 2025 closing balance. Mainly driven by timing.</t>
  </si>
  <si>
    <t>Non-Current Trade and other Payables</t>
  </si>
  <si>
    <t>Held at 2025 closing balance. Represents unamortised supplier volume discounts deducted from inventory cost and recognised through COGS. Immaterial</t>
  </si>
  <si>
    <t>Held at 2025 closing balance. Mainly represents trading payables to related food suppliers. Balances expected to persist post LBO</t>
  </si>
  <si>
    <t>Held at 2025 closing balance. Event-driven with no reliable operational driver</t>
  </si>
  <si>
    <t>Held at post LBO closing balance. Comprises forex translation which isn't reliably predictable. On Day 1 of LBO, Share based payment reserve of $2976k zeroed out and transferred to retained earnings upon cancellation of existing schemes.</t>
  </si>
  <si>
    <t>Held at 2025 closing balance. Reduction from 2024 to 2025 reflects acquisition of additional shares in subsidiary. Residual is immaterial</t>
  </si>
  <si>
    <t>Consists of bank charges. Bank charges frozen due to lack of identifiable drivers</t>
  </si>
  <si>
    <t>Provision for End of Service Benefits</t>
  </si>
  <si>
    <t>EOSB Interest (% of Opening balance)</t>
  </si>
  <si>
    <t>EOSB Service Charge (% of Opening Balance)</t>
  </si>
  <si>
    <t>EOSB Payments (% of Opening Balance)</t>
  </si>
  <si>
    <t>EOSB Service Charge (% of Opening balance)</t>
  </si>
  <si>
    <t>EOSB Payments (% of Opening balance)</t>
  </si>
  <si>
    <t>2024 excluded as elevated, likely reflecting higher staff turnover during a period of significant revenue decline driven by regional geopolitical headwinds. 2025 outturn of 16.2% adopted as representative</t>
  </si>
  <si>
    <t>Service Cost</t>
  </si>
  <si>
    <t xml:space="preserve">Interest Cost </t>
  </si>
  <si>
    <t>Actuarial Remeasurement</t>
  </si>
  <si>
    <t>FX Translation</t>
  </si>
  <si>
    <t>Payments</t>
  </si>
  <si>
    <t>Tax paid assumed equal to the full income tax charge for the year. Timing differences between tax recognised and tax paid not modelled given the complexity of operating across 12 tax jurisdictions</t>
  </si>
  <si>
    <t>Key Money Paid</t>
  </si>
  <si>
    <t>Proceeds from Disposal of PPE</t>
  </si>
  <si>
    <t>3-year average of $1,720k, rounded down. 2022 excluded as an outlier. No discernible trend overall. average adopted as the most appropriate anchor</t>
  </si>
  <si>
    <t>Slight improvement from the 2025 actual of 41.3% (2024: 42.5%), reflecting management guidance on inventory cost savings through menu reengineering and supplier negotiations. 2022/2023 excluded (2022: 48.3%; 2023: 47.7%) as unrepresentative, reflecting elevated global food commodity prices</t>
  </si>
  <si>
    <t>Held at the 2-year average of 28.56% (2024: 28.62%; 2025: 28.49%), rounded to 28.5%. 2022/2023 excluded (2022: 31.07%; 2023: 32.21%) as unrepresentative of the current cost structure</t>
  </si>
  <si>
    <t>2-year average of 36.59% of opening RoU NBV (2024: 36.87%; 2025: 36.32%), rounded to 36.0%. 2022/2023 excluded (2022: 42.20%; 2023: 41.36%) as unrepresentative, reflecting a portfolio with shorter average remaining lease terms</t>
  </si>
  <si>
    <t>2-year average of $2,031k per organic NSO (2024: $1,803k; 2025: $2,258k), rounded to $2,000k. 2022/2023 excluded (2022: $1,344k; 2023: $1,069k) as unrepresentative, reflecting a lower IBR and rental cost environment</t>
  </si>
  <si>
    <t>4-year average of 0.59% of revenue (2022: 0.34%; 2023: 0.76%; 2024: 0.78%; 2025: 0.49%), rounded to 0.6%. No discernible trend; average adopted as the most appropriate anchor.</t>
  </si>
  <si>
    <t>3-year average of 1.61% of revenue (2023: 1.64%; 2024: 1.66%; 2025: 1.52%), rounded down to 1.5% which is consistent with 2025 actuals. 2022 excluded (1.31%) as unrepresentative of the current prepaid expense base</t>
  </si>
  <si>
    <t>3-year average of 0.59% of revenue (2023: 0.51%; 2024: 0.63%; 2025: 0.61%), rounded to 0.6%. 2022 excluded (0.24%) as unrepresentative of the current franchise and delivery partner mix</t>
  </si>
  <si>
    <t>Anchored to the 2025 actual of 54.6 days. Consistent with 2022 and 2024 outturns of 55.3 and 52.6 days respectively. 2023 excluded as an outlier year of apparent destocking (49.3 days)</t>
  </si>
  <si>
    <t>4-year average of 25.9% of opening PPE balance (2022: 26.7%; 2023: 25.6%; 2024: 24.9%; 2025: 26.4%). Rounded to 26.0%.</t>
  </si>
  <si>
    <t>2-year average of 18.65% of revenue (2024: 18.75%; 2025: 18.55%). Downward trend from 2022/2023 levels considered structural rather than cyclical (2022: 19.06%; 2023: 19.50%)</t>
  </si>
  <si>
    <t>3-year average of 36.2% of opening lease liability (2023: 39.9%; 2024: 35.4%; 2025: 33.2%). Downward trend reflects portfolio maturation as longer-dated leases are added. 35% adopted, broadly in line with the 3-year average and conservative relative to the 2025 outturn of 33.2%</t>
  </si>
  <si>
    <t>Held at 33.0%, in line with the 3-year average of 32.7% (2023: 32.7%; 2024: 32.7%; 2025: 32.7%). 2022 excluded as an outlier at 36.8%, reflecting a different portfolio composition in an earlier stage of expansion</t>
  </si>
  <si>
    <t>Forecast at 16%, reflecting the full implementation of the OECD Pillar 2 global minimum tax rate. Historical effective rates of 12.0% (2024) and 14.0% (2025) were below 15% prior to full Pillar 2 implementation</t>
  </si>
  <si>
    <t>3-year average of 14.7% of opening EOSB liability (2023: 14.6%; 2024: 14.9%; 2025: 14.5%). 2022 excluded as an outlier (11.2%) reflecting a different discount rate environment.</t>
  </si>
  <si>
    <t>2-year average of $1,092k (2024: $504k; 2025: $1,680k), rounded up to $1,100k. 2022 and 2023 excluded as unrepresentative</t>
  </si>
  <si>
    <t>Scenario toggle. Base case of 4.5% represents the midpoint between the 2025 actual of 3.78% (113 organic NSOs) and the 4-year average of 4.74% (2022: 5.05%; 2023: 5.29%; 2024: 4.85%; 2025: 3.78%). Bear case of 4.0% anchored to the 2025 actual, reflecting a cautious expansion environment. Bull case of 5.0% consistent with the 4-year average, reflecting accelerated store rollout at 140 NSOs</t>
  </si>
  <si>
    <t>Scenario Helper Table</t>
  </si>
  <si>
    <t>Current Scenario</t>
  </si>
  <si>
    <r>
      <rPr>
        <sz val="12"/>
        <color theme="1"/>
        <rFont val="Symbol"/>
        <family val="1"/>
        <charset val="2"/>
      </rPr>
      <t>¬</t>
    </r>
    <r>
      <rPr>
        <u/>
        <sz val="12"/>
        <color theme="1"/>
        <rFont val="Calibri"/>
        <family val="2"/>
      </rPr>
      <t>Select cell to change Scenario</t>
    </r>
  </si>
  <si>
    <t>Exit EV/EBITDA</t>
  </si>
  <si>
    <t>Corresponding Share Price (AED)</t>
  </si>
  <si>
    <t>Exit Multiple</t>
  </si>
  <si>
    <t>MAT Franchise Rights</t>
  </si>
  <si>
    <t>Opening Net Core Intangibles</t>
  </si>
  <si>
    <t>Opening MAT Franchise Rights</t>
  </si>
  <si>
    <t>Amortization</t>
  </si>
  <si>
    <t>Closing MAT Franchise Rights</t>
  </si>
  <si>
    <t>Closing Net Intangibles</t>
  </si>
  <si>
    <t>Core Intangibles</t>
  </si>
  <si>
    <t>Consideration paid for MAT acquisition in 2026. Allocated entirely to franchise rights consistent with industry modelling convention. Full PPA not performed given immateriality relative to entry EV of $5.6bn (0.37%)</t>
  </si>
  <si>
    <t>2026 amortisation of $231k calculated on acquisition cost of $20,800k for 10 months (March to December). From 2027 onwards, amortisation calculated as 1.33% of opening MAT franchise rights balance</t>
  </si>
  <si>
    <t>Acquisition of Subsidiary</t>
  </si>
  <si>
    <t>Represents consideration paid for the acquisition of 100% stake in Yummy Junction International Investment LLC and Rock Star International Restaurant For Meals Serving LLC, operating under the brand name Malak Al Tawouk (MAT), for a total consideration of $20,830k. The acquisition, completed in February 2026, is intended to be funded through the Group's internal cash reserves with no external financing required</t>
  </si>
  <si>
    <t>Incremental
(1)-(2)</t>
  </si>
  <si>
    <t>Exit Proceeds 2030E</t>
  </si>
  <si>
    <t>Cash Flows Summary Table - LBO vs Hold Listed</t>
  </si>
  <si>
    <t>Dividends (2016-2025)</t>
  </si>
  <si>
    <t>Dividends (2026-2030)</t>
  </si>
  <si>
    <t>Total Dividends</t>
  </si>
  <si>
    <t>IPO Proceeds in 2022</t>
  </si>
  <si>
    <t xml:space="preserve">Total Proceeds </t>
  </si>
  <si>
    <t>Equity Invested</t>
  </si>
  <si>
    <t>Net Cash to Adeptio</t>
  </si>
  <si>
    <t>Interest income on cash reserves assumed at 4.0% per annum, below the 2-year historical average of 4.98% (2024: 5.60%; 2025: 4.35%), reflecting the declining interest rate environment over the forecast period</t>
  </si>
  <si>
    <t>Finance Income [LBO]</t>
  </si>
  <si>
    <t xml:space="preserve">Cash Reconciliation (LBO to Hold-listed) </t>
  </si>
  <si>
    <t>Opening Cash as per CFS</t>
  </si>
  <si>
    <t>Add: Finance Income (Interest earned on cash deposits)</t>
  </si>
  <si>
    <t xml:space="preserve">Less: Tax on Interest Income </t>
  </si>
  <si>
    <t>Less: Dividends on Revised Net Profits of prior year</t>
  </si>
  <si>
    <t>Dividends Paid to shareholders (LBO)</t>
  </si>
  <si>
    <t>Dividend Payout ratio (% of Net Profits) (Hold-Listed Scenario)</t>
  </si>
  <si>
    <t>Suspended post LBO as excess cash swept to service debt. Dividend paid in 2026 on 2025 NP (declared in Feb 2026) likely to occur before LBO close</t>
  </si>
  <si>
    <t>ST Deposits available</t>
  </si>
  <si>
    <t>LT Deposits available</t>
  </si>
  <si>
    <t>in $ 000s</t>
  </si>
  <si>
    <t>LBO
(1)</t>
  </si>
  <si>
    <t>Scenario toggle; base 125, bear 110, bull 140</t>
  </si>
  <si>
    <t>Scenario toggle; base 5.0%, bear 4.0%, bull 6.0%</t>
  </si>
  <si>
    <t>Actuals only; zero from 2026</t>
  </si>
  <si>
    <t>Slight improvement from 2025 actual (41.3%)</t>
  </si>
  <si>
    <t>2-yr avg (2024: 28.62%; 2025: 28.49%)</t>
  </si>
  <si>
    <t>Scenario toggle; base 7.0%, bear 7.5%, bull 6.5%</t>
  </si>
  <si>
    <t>Plug; base 23.5%, bear 23.0%, bull 24.0%</t>
  </si>
  <si>
    <t>Scenario toggle; base 4.5%, bear 4.0%, bull 5.0%</t>
  </si>
  <si>
    <t>4-yr avg 25.9% (2022-2025); rounded to 26.0%</t>
  </si>
  <si>
    <t>2-yr avg $2,031k/store; rounded to $2,000k</t>
  </si>
  <si>
    <t>2-yr avg 36.59% (2024-2025); rounded to 36.0%</t>
  </si>
  <si>
    <t>Frozen at 2025 actual ($7,179k)</t>
  </si>
  <si>
    <t>4-yr avg 0.59%; rounded to 0.6%</t>
  </si>
  <si>
    <t>4-yr avg 20.2% (volatile series); rounded to 20.0%</t>
  </si>
  <si>
    <t>2026 only: $20,830k acquisition cost</t>
  </si>
  <si>
    <t>1.33% p.a. over 75-yr exclusive franchise term</t>
  </si>
  <si>
    <t>Anchored to 2025 actual (7.5 days)</t>
  </si>
  <si>
    <t>3-yr avg 1.61% (2023-2025); rounded to 1.5%</t>
  </si>
  <si>
    <t>Frozen at 2025 actual ($16,100k)</t>
  </si>
  <si>
    <t>3-yr avg 0.59% (2023-2025); rounded to 0.6%</t>
  </si>
  <si>
    <t>Anchored to 2025 actual (54.6 days)</t>
  </si>
  <si>
    <t>3-yr avg 36.2% (2023-2025); rounded to 35.0%</t>
  </si>
  <si>
    <t>2-yr avg 18.65% (2024: 18.75%; 2025: 18.55%)</t>
  </si>
  <si>
    <t>Frozen at 2025 actual ($16,681k)</t>
  </si>
  <si>
    <t>Frozen at post-LBO Day 1 balance</t>
  </si>
  <si>
    <t>3-yr avg 4.69% (2023-2025); 2022 excluded (outlier)</t>
  </si>
  <si>
    <t>3-yr avg 14.7% (2023-2025); 2022 excluded (outlier)</t>
  </si>
  <si>
    <t>2025 actual 16.2%; 2024 excluded (elevated)</t>
  </si>
  <si>
    <t>Zero post-LBO; 2026 pre-close dividend $201,567k</t>
  </si>
  <si>
    <t>2-yr avg $1,092k (2024: $504k; 2025: $1,680k)</t>
  </si>
  <si>
    <t>3-yr avg $1,720k; rounded to $1,700k</t>
  </si>
  <si>
    <t>Americana Restaurants LBO Model  |  All figures in USD 000s unless stated  |  March 2026</t>
  </si>
  <si>
    <t>Section</t>
  </si>
  <si>
    <t>Basis (Short Note)</t>
  </si>
  <si>
    <t>Full Methodology</t>
  </si>
  <si>
    <t>LfL Growth</t>
  </si>
  <si>
    <t>COGS (% of Revenue)</t>
  </si>
  <si>
    <t>S&amp;A Expense (% of Revenue)</t>
  </si>
  <si>
    <t>G&amp;A Expense (% of Revenue)</t>
  </si>
  <si>
    <t>PPE Capex (% of Revenue)</t>
  </si>
  <si>
    <t>PPE Disposals</t>
  </si>
  <si>
    <t>PPE Depreciation (% of Opening Balance)</t>
  </si>
  <si>
    <t>PPE Other Adjustments</t>
  </si>
  <si>
    <t>RoU Addition per NSO</t>
  </si>
  <si>
    <t>RoU Depreciation (% of Opening Balance)</t>
  </si>
  <si>
    <t>RoU Terminations</t>
  </si>
  <si>
    <t>Intangibles Capex (% of Revenue)</t>
  </si>
  <si>
    <t>Intangibles Disposals</t>
  </si>
  <si>
    <t>Core Intangibles Amortisation (% of Opening Balance)</t>
  </si>
  <si>
    <t>Prepaid Expenses (% of Revenue)</t>
  </si>
  <si>
    <t>Accrued Income (% of Revenue)</t>
  </si>
  <si>
    <t>Insurance Receivables</t>
  </si>
  <si>
    <t>VAT Receivable</t>
  </si>
  <si>
    <t>Non-Current Receivables Portion</t>
  </si>
  <si>
    <t>Lease Liability Additions/Terminations</t>
  </si>
  <si>
    <t>Lease Principal Payment (% of Opening Balance)</t>
  </si>
  <si>
    <t>Lease Current/Non-Current Split</t>
  </si>
  <si>
    <t>Trade Payables (% of Revenue)</t>
  </si>
  <si>
    <t>Non-Current Trade Payables</t>
  </si>
  <si>
    <t>Deferred Tax Liabilities</t>
  </si>
  <si>
    <t>Income Tax / Zakat Payable</t>
  </si>
  <si>
    <t>Due to Related Parties</t>
  </si>
  <si>
    <t>Provisions (Legal/Tax/Other)</t>
  </si>
  <si>
    <t>NCI (Non-Controlling Interest)</t>
  </si>
  <si>
    <t>EOSB Interest (% of Opening Balance)</t>
  </si>
  <si>
    <t>Dividends Paid (LBO Scenario)</t>
  </si>
  <si>
    <t>Dividend Payout Ratio (Hold-Listed Scenario)</t>
  </si>
  <si>
    <t>Proceeds from PPE Disposal</t>
  </si>
  <si>
    <t>General Model Notes</t>
  </si>
  <si>
    <t>Note</t>
  </si>
  <si>
    <t>Detail</t>
  </si>
  <si>
    <t>Non-Lease Finance Costs - P&amp;L Composition</t>
  </si>
  <si>
    <t>Historical Data Exclusions - General Principle</t>
  </si>
  <si>
    <t>90% of prior year NP - 2-yr avg (2024: 84%; 2025: 92%)</t>
  </si>
  <si>
    <t>2026 only: $20,830k - MAT acquisition</t>
  </si>
  <si>
    <t>16% - Pillar 2 full implementation</t>
  </si>
  <si>
    <t>Zero - cash swept at LBO entry</t>
  </si>
  <si>
    <t>4.0% on opening cash - below 2-yr avg (4.98%)</t>
  </si>
  <si>
    <t>6.3% - 3-yr avg adjusted upward for IBR increases</t>
  </si>
  <si>
    <t>Frozen at 2025 actual ($42k) - bank charges only</t>
  </si>
  <si>
    <t>Frozen at 2025 actual ($2,691k) - immaterial</t>
  </si>
  <si>
    <t>Zero - hyperinflation/FX, non-operating</t>
  </si>
  <si>
    <t>Frozen at 2025 actual ($3,712k) - immaterial</t>
  </si>
  <si>
    <t>Frozen at 2025 actual ($1,992k) - immaterial</t>
  </si>
  <si>
    <t>Frozen at 2025 actual ($1,612k) - immaterial</t>
  </si>
  <si>
    <t>Frozen at 2025 actual ($410k) - immaterial</t>
  </si>
  <si>
    <t>Frozen at 2025 actual ($2,553k) - immaterial</t>
  </si>
  <si>
    <t>Frozen at 2025 actual ($4,558k) - immaterial</t>
  </si>
  <si>
    <t>Frozen at 2025 actual ($8,494k) - immaterial</t>
  </si>
  <si>
    <t>Frozen at $7,500k - 2023/2024 avg</t>
  </si>
  <si>
    <t>Frozen at 2025 actual ($3,594k) - immaterial</t>
  </si>
  <si>
    <t>Equal to RoU asset movements - see RoU assumptions</t>
  </si>
  <si>
    <t>Frozen at 33.0% - 3-yr avg (2023-2025: 32.7%)</t>
  </si>
  <si>
    <t>Frozen at 2025 actual ($2,729k) - immaterial</t>
  </si>
  <si>
    <t>Frozen at 2025 actual ($2,110k) - immaterial</t>
  </si>
  <si>
    <t>Frozen at 2025 actual ($36,745k) - timing driven</t>
  </si>
  <si>
    <t>Frozen at 2025 actual ($15,077k) - event-driven</t>
  </si>
  <si>
    <t>Frozen at 2025 actual ($984k) - residual</t>
  </si>
  <si>
    <t>Finance Income (% of Opening Cash) [Hold-Listed Scenario]</t>
  </si>
  <si>
    <t>Historical average (2023-2025) of 6.15% adjusted upwards to reflect the increase in lease IBRs. 2025 rates expected to reverse partially as the Fed cuts rates. (2022: 5.21%; 2023: 5.78%; 2024: 5.95%; 2025: 6.72%)</t>
  </si>
  <si>
    <t>Held constant at 2025 level. Movements are immaterial.</t>
  </si>
  <si>
    <t>4-year average of 20.2% of opening intangibles NBV (2022: 16.7%; 2023: 20.7%; 2024: 18.8%; 2025: 24.6%). Volatile series with no clear trend; average adopted as the most appropriate anchor.</t>
  </si>
  <si>
    <t>MAT Franchise Rights - Additions</t>
  </si>
  <si>
    <t>MAT Franchise Rights - Amortisation</t>
  </si>
  <si>
    <t>Anchored to the 2025 actual of 7.52 days. Consistent with the observed upward trend (2022: 4.3 days to 2025: 7.5 days)</t>
  </si>
  <si>
    <t>Held at 2025 closing balance. Theoretically should grow with store count, however individual deposits will vary significantly by market and landlord. Immaterial at less than 1% of revenue</t>
  </si>
  <si>
    <t>Held at 2025 closing balance. Timing driven balance with no clear predictable forward driver. Immaterial</t>
  </si>
  <si>
    <t>Balance Sheet - Lease Liability</t>
  </si>
  <si>
    <t>Anchored to 3 year average of 4.69% (2023: 4.50%; 2024: 4.86%; 2025: 4.72%). 2022 excluded as an outlier (1.54%)</t>
  </si>
  <si>
    <t>Tax Paid vs Tax Recognised</t>
  </si>
  <si>
    <t>Where historical years are excluded from averages, this reflects distortion from: (i) post-COVID recovery (2022/2023 for certain metrics); (ii) hyperinflationary or geopolitical impacts; or (iii) one-off structural changes. Exclusion rationale is documented on a line-by-line basis in the notes above.</t>
  </si>
  <si>
    <t>Additions &amp; Terminations</t>
  </si>
  <si>
    <t>Tax paid assumed equal to the full income tax charge</t>
  </si>
  <si>
    <t>In the P&amp;L, this also includes EOSB Interest</t>
  </si>
  <si>
    <t>+ EBITDA Growth Contribution</t>
  </si>
  <si>
    <t xml:space="preserve">+ Multiple Expansion </t>
  </si>
  <si>
    <t>+ Net Debt Paydown Benefit</t>
  </si>
  <si>
    <t>Hold-Listed</t>
  </si>
  <si>
    <t xml:space="preserve">Post-LBO Returns Waterfall </t>
  </si>
  <si>
    <t>(-) Lease Liability Movement</t>
  </si>
  <si>
    <t>+ Increase in Cash Balances</t>
  </si>
  <si>
    <t>Adeptio Existing Stake</t>
  </si>
  <si>
    <t>Stake in company held by Adeptio</t>
  </si>
  <si>
    <t xml:space="preserve">Exit Equity Proceeds </t>
  </si>
  <si>
    <t>+ Dividends Received during Holding Period</t>
  </si>
  <si>
    <t>Acquisition of Float</t>
  </si>
  <si>
    <t>LBO Entry</t>
  </si>
  <si>
    <t>Loading of Debt in Capital Structure</t>
  </si>
  <si>
    <t>Excess cash swept at entry</t>
  </si>
  <si>
    <t>Changes in Equity Value due to LBO Entry</t>
  </si>
  <si>
    <t>Holding Period</t>
  </si>
  <si>
    <t>Excess cash swept at LBO Entry</t>
  </si>
  <si>
    <t>Total gross LBO debt drawable ($ 000s)</t>
  </si>
  <si>
    <t>Cash Balance Available</t>
  </si>
  <si>
    <t>Minimum Cash Balance</t>
  </si>
  <si>
    <t>(-) Dividend payment in 2026 (Pre-LBO close)</t>
  </si>
  <si>
    <t>from Cash</t>
  </si>
  <si>
    <t>from ST Deposits</t>
  </si>
  <si>
    <t>from LT Deposits</t>
  </si>
  <si>
    <t xml:space="preserve">Cash Reconciliation - 2025 Closing Balance to LBO Close </t>
  </si>
  <si>
    <t>Tender price in USD (cum-dividend)</t>
  </si>
  <si>
    <t>Dividend per share in USD (paid in 2026 pre LBO close)</t>
  </si>
  <si>
    <t>Share Price Ex-dividend</t>
  </si>
  <si>
    <t>Tender Premium to market</t>
  </si>
  <si>
    <t>Dividend per share in AED (paid pre-close)</t>
  </si>
  <si>
    <t>Tender Price in AED (ex-dividend)</t>
  </si>
  <si>
    <t>Offer price (total consideration)</t>
  </si>
  <si>
    <t>Balances before LBO Close</t>
  </si>
  <si>
    <t>ST Deposits</t>
  </si>
  <si>
    <t>LT Deposits</t>
  </si>
  <si>
    <t>Cash</t>
  </si>
  <si>
    <t>Balances post Sweep at LBO Close</t>
  </si>
  <si>
    <t>Exit EBITDA</t>
  </si>
  <si>
    <t>For the Sensitivity Table</t>
  </si>
  <si>
    <t>XIRR Sensitivity - Exit EV/EBITDA Vs Exit EBITDA</t>
  </si>
  <si>
    <t>(-) Equity Invested by Adeptio to acquire float</t>
  </si>
  <si>
    <t>Revenue Drivers</t>
  </si>
  <si>
    <t>Fixed  Assets</t>
  </si>
  <si>
    <t>Working Capital</t>
  </si>
  <si>
    <t>Other Balance Sheet Items</t>
  </si>
  <si>
    <t>In the Hold Listed scenario, Adeptio retains its existing stake in AMR without executing the LBO. As a result, the company's cash reserves are not swept to repay acquisition debt and accumulate over the forecast period. This generates material interest income which increases net profit, in turn increasing dividends distributed to Adeptio under the 70% payout assumption. A separate Hold Listed cash roll forward has been constructed to capture this compounding effect, as using the LBO model cash balance would materially understate the Hold Listed scenario's cash position and consequently overstate the IRR uplift from the LBO. The interest rate assumption of 4.0% is applied to the opening cash balance each year.</t>
  </si>
  <si>
    <t>[3]</t>
  </si>
  <si>
    <t>[4]</t>
  </si>
  <si>
    <t>[5]</t>
  </si>
  <si>
    <t>[6]</t>
  </si>
  <si>
    <t>[7]</t>
  </si>
  <si>
    <t>[8]</t>
  </si>
  <si>
    <t>[9]</t>
  </si>
  <si>
    <t>[10]</t>
  </si>
  <si>
    <t>[11]</t>
  </si>
  <si>
    <t>[12]</t>
  </si>
  <si>
    <t>[13]</t>
  </si>
  <si>
    <t>[14]</t>
  </si>
  <si>
    <t>[15]</t>
  </si>
  <si>
    <t>[16]</t>
  </si>
  <si>
    <t>[17]</t>
  </si>
  <si>
    <t>Appendix - Footnotes</t>
  </si>
  <si>
    <t>[1]</t>
  </si>
  <si>
    <t>Methodology behind Model assumptions</t>
  </si>
  <si>
    <t>Fixed Assets</t>
  </si>
  <si>
    <t>PPE</t>
  </si>
  <si>
    <t>Cash Flow Statement Items</t>
  </si>
  <si>
    <t>[2]</t>
  </si>
  <si>
    <t xml:space="preserve">Finance Income (% of opening Cash) [Hold Listed Scenario] </t>
  </si>
  <si>
    <t>Deposits utilised to pay dividend pre-LBO close. Balances swept at LBO entry. Refer to 'LBO Model' sheet for cash reconciliation</t>
  </si>
  <si>
    <t>Non-Lease Finance Costs in the P&amp;L also includes EOSB Interest. EOSB interest is addressed in the assumptions relating to EOSB above</t>
  </si>
  <si>
    <t>Short term Deposits with Banks</t>
  </si>
  <si>
    <t>Dividend paid ($201,567) pre-LBO close from deposits and cash balances and does not reflect in post LBO CFS.</t>
  </si>
  <si>
    <r>
      <t>Cash and cash equivalents at the end of the year</t>
    </r>
    <r>
      <rPr>
        <sz val="11"/>
        <color theme="1"/>
        <rFont val="Calibri"/>
        <family val="2"/>
        <scheme val="minor"/>
      </rPr>
      <t xml:space="preserve"> (As shown in the Cash Flow Statement)</t>
    </r>
  </si>
  <si>
    <t>Cash balance reflects the standalone operational model and does not incorporate LBO debt sweep mechanics. 
In the LBO model, excess cash above the minimum operating balance of $80,000k is swept to repay debt annually. Refer to the debt schedule on the LBO Model sheet.</t>
  </si>
  <si>
    <t xml:space="preserve">This roll forward will only affect the XIRR calculation for the Hold-listed scenario (for comparison against LBO returns), and not the LBO model. </t>
  </si>
  <si>
    <t>Closing balance of 2025 used as opening balance for 2026 Hold Listed BS.</t>
  </si>
  <si>
    <t>Cash here includes cash and cash eq., ST and LT  deposits</t>
  </si>
  <si>
    <r>
      <t>Opening Cash as per CFS</t>
    </r>
    <r>
      <rPr>
        <sz val="11"/>
        <color theme="1"/>
        <rFont val="Calibri"/>
        <family val="2"/>
        <scheme val="minor"/>
      </rPr>
      <t xml:space="preserve"> (within the Cash reconciliation schedule)</t>
    </r>
  </si>
  <si>
    <t xml:space="preserve">The Hold Listed cash roll forward utilises the net cash flows from the 3-statement model CFS with minimal adjustments. This is appropriate as the 3-statement model is constructed on a standalone operational basis and does not incorporate LBO-specific items. Specifically, LBO debt drawdown, mandatory amortisation, and cash sweep mechanics are modelled exclusively within the LBO Model sheet and do not flow through the 3-statement CFS. The financing section of the CFS reflects only recurring operational financing items, namely lease principal payments, lease interest, and bank charges which are identical under both the LBO and Hold Listed scenarios. </t>
  </si>
  <si>
    <t>All other CFS line items are assumed identical across both scenarios.</t>
  </si>
  <si>
    <r>
      <t>Add:Net Cash increase/decrease as per CFS</t>
    </r>
    <r>
      <rPr>
        <sz val="11"/>
        <color theme="1"/>
        <rFont val="Calibri"/>
        <family val="2"/>
        <scheme val="minor"/>
      </rPr>
      <t xml:space="preserve"> (within the cash reconciliation schedule)</t>
    </r>
  </si>
  <si>
    <t>Two adjustments are made to derive the Hold Listed cash position:</t>
  </si>
  <si>
    <t xml:space="preserve">(i) interest income of 4.0% per annum is applied to the opening cash balance each year, reflecting returns on accumulated cash reserves, compared to zero in the LBO scenario where deposits are swept at entry; and </t>
  </si>
  <si>
    <t xml:space="preserve">(ii) dividends of 90% of revised net profit (inclusive of after-tax interest income) are deducted annually, as Adeptio would continue to receive distributions as a listed shareholder. </t>
  </si>
  <si>
    <t>Dividends on Revised Net Profits of prior year</t>
  </si>
  <si>
    <t>Payment of dividend usually has historically occurred around May of each year. This dividend corresponds to the profits earned the previous year</t>
  </si>
  <si>
    <t>Dividend payment in 2026 (Pre-LBO close)</t>
  </si>
  <si>
    <t>It has been assumed that for the payment of this dividend, cash is utilised first, then ST deposits, and if any balance still remains, LT deposits.</t>
  </si>
  <si>
    <t>Assuming 29.03% was tendered at 2.65 KD (96.03-67)
Prior to restructuring, the company had approximately 400,000,000 shares outstanding. (this number could not be verified, and has been arrived through reverse calculation of initial acquisition cost}</t>
  </si>
  <si>
    <t>IPO Proceeds</t>
  </si>
  <si>
    <t xml:space="preserve">Prospectus mentions a sale of 30% stake in the company for a net offer size of $1.8 billion </t>
  </si>
  <si>
    <t>Tender price of AED 2.62 set at the IPO price (December 2022). Any price below the same would lead to minority shareholders who subscribed at IPO realizing a loss, making acceptance unlikely. AED 2.62 represents the minimum credible offer price to achieve sufficient acceptance from IPO-era holders.</t>
  </si>
  <si>
    <t>This directly reflects the transaction costs paid at LBO entry (refer to sources and uses schedule in the 'LBO Model' sheet)</t>
  </si>
  <si>
    <t>[18]</t>
  </si>
  <si>
    <t>Dividend Policy Post-LBO under LBO and Hold-Listed scenarios</t>
  </si>
  <si>
    <t>Post-LBO dividends are assumed to be zero as excess cash is swept to repay LBO debt per the cash sweep mechanism</t>
  </si>
  <si>
    <t>Hold Listed</t>
  </si>
  <si>
    <t>Dividends in the Hold Listed scenario are projected at 90% of prior year net profit, consistent with the company's established high dividend distribution policy. The assumption is anchored to the 2-year average payout ratio of 88% (2024: 84% being $127,000k on net profit of $151,404k; 2025: 92% being approximately $201,300k on net profit of $218,450k). The company's stated minimum dividend policy is 50% of net profit; however, historical payouts have consistently and materially exceeded this floor. A 90% assumption is considered appropriate for the forecast period as it reflects the company's demonstrated commitment to returning cash to shareholders while remaining marginally below the most recent 2025 outturn of 92%</t>
  </si>
  <si>
    <t>[19]</t>
  </si>
  <si>
    <t>A change in exit EBITDA will generally also reflect a change in free cash flow across the holding period. This can materially alter the debt repayment schedule. However, to maintain model simplicity, Exit debt has been held at toggled scenario levels (debt schedule remains as it would under the bear, base or bull scenario selected); sensitivity reflects effect of exit EBITDA on the Exit EV only.</t>
  </si>
  <si>
    <t>Scenario</t>
  </si>
  <si>
    <t>Fiscal Years Ending December 31,</t>
  </si>
  <si>
    <t>Total Trade payables (% of revenue)</t>
  </si>
  <si>
    <t>All figures in $ 000s unless stated</t>
  </si>
  <si>
    <r>
      <t>Source</t>
    </r>
    <r>
      <rPr>
        <i/>
        <sz val="9"/>
        <color rgb="FF7030A0"/>
        <rFont val="Calibri"/>
        <family val="2"/>
        <scheme val="minor"/>
      </rPr>
      <t xml:space="preserve"> </t>
    </r>
    <r>
      <rPr>
        <i/>
        <sz val="9"/>
        <color theme="1"/>
        <rFont val="Calibri"/>
        <family val="2"/>
        <scheme val="minor"/>
      </rPr>
      <t>(Full Methodology in Appendix)</t>
    </r>
  </si>
  <si>
    <t>Percentages below are % of Revenue</t>
  </si>
  <si>
    <t>($ in 000s)</t>
  </si>
  <si>
    <t>Total Non-Current Liabilities</t>
  </si>
  <si>
    <t>Total Current Liabilities</t>
  </si>
  <si>
    <t>Balance sheet check</t>
  </si>
  <si>
    <t>Closing Balance - Core Intangibles</t>
  </si>
  <si>
    <t>Add: Net Cash increase/decrease as per CFS</t>
  </si>
  <si>
    <t>Cash Flow from Operating Activities</t>
  </si>
  <si>
    <t>Revenue per Store</t>
  </si>
  <si>
    <t>NSO (Organic) (# of stores)</t>
  </si>
  <si>
    <t>Stores Acquired (# of stores)</t>
  </si>
  <si>
    <t>Total number of Stores</t>
  </si>
  <si>
    <t>EBITDA Margin (% of revenue)</t>
  </si>
  <si>
    <t>LfL growth (% of revenue)</t>
  </si>
  <si>
    <t xml:space="preserve">Finance Income (% of opening cash) [Hold Listed Scenario] </t>
  </si>
  <si>
    <t>Lease Finance Costs (% of average lease balance)</t>
  </si>
  <si>
    <t>Effective Income Tax Rate (% of PBT)</t>
  </si>
  <si>
    <t>Prepaid Expenses (% of revenue)</t>
  </si>
  <si>
    <t>Principal Payment (% Of Opening Balance)</t>
  </si>
  <si>
    <t>Current/Total Lease Liability</t>
  </si>
  <si>
    <t>FY26 EBITDA (projected in $ 000s)</t>
  </si>
  <si>
    <t>Excess operating cash</t>
  </si>
  <si>
    <t>Total cash available</t>
  </si>
  <si>
    <t>Net cash swept</t>
  </si>
  <si>
    <t xml:space="preserve">Implied Opening Equity </t>
  </si>
  <si>
    <t xml:space="preserve">Adeptio's stake in Opening Equity </t>
  </si>
  <si>
    <t>Equity investment at LBO entry</t>
  </si>
  <si>
    <t>Equity Base at LBO entry</t>
  </si>
  <si>
    <t>Entry and Exit Equity Value Summary</t>
  </si>
  <si>
    <t>IRR Cash Flow Table - LBO vs Hold Listed</t>
  </si>
  <si>
    <t>IRR Returns - Scenario Summary Table</t>
  </si>
  <si>
    <t>Incremental IRR Sensitivity - Exit EV/EBITDA Vs Exit EBITDA</t>
  </si>
  <si>
    <t>Max. Total Debt/EBITDA</t>
  </si>
  <si>
    <t>Lease/EBITDA</t>
  </si>
  <si>
    <t>Max LBO Debt/EBITDA</t>
  </si>
  <si>
    <t>Total Debt/EBITDA</t>
  </si>
  <si>
    <t>Incremental IRR Returns - LBO vs Hold Listed</t>
  </si>
  <si>
    <t xml:space="preserve">Incremental IRR  </t>
  </si>
  <si>
    <t>Entry Equity Value of existing equity stake in company at LBO close</t>
  </si>
  <si>
    <t>Revenue CAGR</t>
  </si>
  <si>
    <t xml:space="preserve">Incremental XIRR  </t>
  </si>
  <si>
    <t>Incremental IRR Sensitivity - Exit EV/EBITDA Vs Entry EV/EBITDA</t>
  </si>
  <si>
    <t>Annual LfL growth</t>
  </si>
  <si>
    <t>Base case of 125 NSOs per annum, in line with the midpoint of management guidance of 120-130. Bear: 110 (below guidance, stress scenario reflecting potential slowdown in expansion); Bull: 140 (above guidance, reflecting accelerated rollout)
Management guidance has in the past included acquired stores as a part of NSOs as well, the same methodology has been assumed for 2026</t>
  </si>
  <si>
    <t>Exit EV/EBITDA Sensitivity - WACC Vs FCFF/EBITDA</t>
  </si>
  <si>
    <t>FCFF/EBITDA</t>
  </si>
  <si>
    <t>WACC</t>
  </si>
  <si>
    <t>Total Equity returns for Adeptio Post LBO</t>
  </si>
  <si>
    <t xml:space="preserve">This includes Loss on disposal of PPE and intangibles. </t>
  </si>
  <si>
    <t>UAE</t>
  </si>
  <si>
    <t>KSA</t>
  </si>
  <si>
    <t>Kuwait</t>
  </si>
  <si>
    <t>Oman</t>
  </si>
  <si>
    <t>Bahrain</t>
  </si>
  <si>
    <t>Qatar</t>
  </si>
  <si>
    <t>Egypt</t>
  </si>
  <si>
    <t>Morocco</t>
  </si>
  <si>
    <t>Lebanon</t>
  </si>
  <si>
    <t>Kazakhstan</t>
  </si>
  <si>
    <t>Jordan</t>
  </si>
  <si>
    <t>Iraq</t>
  </si>
  <si>
    <t>Stores</t>
  </si>
  <si>
    <t>ERP New</t>
  </si>
  <si>
    <t>Old ERP</t>
  </si>
  <si>
    <t>EV</t>
  </si>
  <si>
    <t>D/E</t>
  </si>
  <si>
    <t>N/M</t>
  </si>
  <si>
    <t>Interest Coverage (EBITDA/total interest)</t>
  </si>
  <si>
    <t>v3.0 April 2026</t>
  </si>
  <si>
    <t>Incremental IRR Sensitivity - WACC Vs LfL growth (Base case)</t>
  </si>
  <si>
    <t>Major GCC</t>
  </si>
  <si>
    <t>Lower GCC</t>
  </si>
  <si>
    <t>Northern Africa</t>
  </si>
  <si>
    <t>Country</t>
  </si>
  <si>
    <t>Weighted Revenue</t>
  </si>
  <si>
    <t>Region</t>
  </si>
  <si>
    <t>Total</t>
  </si>
  <si>
    <t>Total / Blended</t>
  </si>
  <si>
    <t>Levered β</t>
  </si>
  <si>
    <t>D/(D+E)</t>
  </si>
  <si>
    <t>Kd (wtd)</t>
  </si>
  <si>
    <t>Ke</t>
  </si>
  <si>
    <t>Ke (wtd)</t>
  </si>
  <si>
    <t>Net debt assumed: 681 (Lease Liability in 2030)</t>
  </si>
  <si>
    <t>Base (Old ERPs)</t>
  </si>
  <si>
    <t>Base (New ERPs)</t>
  </si>
  <si>
    <t>Blended Old ERP (ex-Leb)</t>
  </si>
  <si>
    <t>Blended New ERP (ex-Leb)</t>
  </si>
  <si>
    <t>Blended New ERP (all)</t>
  </si>
  <si>
    <t>Segment</t>
  </si>
  <si>
    <t>2 - Revenue Allocation using store counts as proxy</t>
  </si>
  <si>
    <t>1 - Segment revenues (2025)</t>
  </si>
  <si>
    <t>3 - Blended ERP calculation</t>
  </si>
  <si>
    <t>4 - Exit multiple iteration</t>
  </si>
  <si>
    <t>Scenario toggle; base 4.0%, bear 3.0%, bull 5.0%</t>
  </si>
  <si>
    <t>Base case of 4.0%, representing the lower end of management guidance of mid single digits (4-6%). Bear: 3.0% (below guidance); Bull: 5.0% (management guidance). 2024 actual of -12.5% and 2025 actual of 9.7% excluded as distorted by regional geopolitical headwinds and subsequent normalisation</t>
  </si>
  <si>
    <t>2025-Pizza Hut Oman; 2026-MAT. Note: MAT stores assumed to reach similar operational efficiency and sales per store levels as the existing stores for simplicity reasons. Current revenue per store for MAT is $2.1m</t>
  </si>
  <si>
    <t>Actuals only; zero from 2027</t>
  </si>
  <si>
    <t>Scenario toggle; base 7.0%, bear 8.5%, bull 6.5%</t>
  </si>
  <si>
    <t>Scenario toggle reflecting operating leverage and management guidance on G&amp;A reduction through restructuring and offshoring of low-value-add roles (2022: 8.12%; 2023: 7.95%; 2024: 7.26%; 2025: 6.93%). Bear: 8.5% stress assumption reflecting inability to reduce/worsening of fixed G&amp;A costs in a weaker revenue environment. Base: 7.0% modest improvement from 2024 actual, broadly in line with the observed downward trend. Bull: 6.5% reflects partial realisation of management efficiency initiatives on a larger revenue base</t>
  </si>
  <si>
    <t>Plug derived as revenue less COGS, S&amp;A and G&amp;A. Base case of 23.5% is in line with the 2025 outturn of 23.7% and consistent with management guidance of margins in line with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</si>
</sst>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
    <numFmt numFmtId="165" formatCode="0.0"/>
    <numFmt numFmtId="166" formatCode="_-* #,##0_-;\-* #,##0_-;_-* &quot;-&quot;??_-;_-@_-"/>
    <numFmt numFmtId="167" formatCode="_-* #,##0.00000_-;\-* #,##0.00000_-;_-* &quot;-&quot;??_-;_-@_-"/>
    <numFmt numFmtId="168" formatCode="0.0000%"/>
    <numFmt numFmtId="169" formatCode="0.000"/>
    <numFmt numFmtId="170" formatCode="0\A"/>
    <numFmt numFmtId="171" formatCode="#&quot;E&quot;"/>
    <numFmt numFmtId="172" formatCode="0.00\x"/>
    <numFmt numFmtId="173" formatCode="#,##0;\(#,##0\);\-"/>
    <numFmt numFmtId="174" formatCode="0&quot;E&quot;"/>
    <numFmt numFmtId="175" formatCode="0.0%;\(0.0%\);\-"/>
    <numFmt numFmtId="176" formatCode="0;\(0\);\-"/>
    <numFmt numFmtId="177" formatCode="dd\-mmm\-yyyy"/>
    <numFmt numFmtId="178" formatCode="0.00%;\(0.00%\);\-"/>
    <numFmt numFmtId="179" formatCode="0.00;\(0.00\);\-"/>
    <numFmt numFmtId="180" formatCode="&quot;Last Updated:&quot;\ [$-14C09]d\ mmm\ yyyy\ "/>
    <numFmt numFmtId="181" formatCode="#,##0.000;\(#,##0.000\);\-"/>
    <numFmt numFmtId="182" formatCode="0.00%;\(0.00%\);0.00%"/>
    <numFmt numFmtId="183" formatCode="&quot;Terminal growth rate =&quot;\ 0.00%"/>
  </numFmts>
  <fonts count="70">
    <font>
      <sz val="11"/>
      <color theme="1"/>
      <name val="Calibri"/>
      <family val="2"/>
      <scheme val="minor"/>
    </font>
    <font>
      <sz val="11"/>
      <color theme="1"/>
      <name val="Calibri"/>
      <family val="2"/>
      <scheme val="minor"/>
    </font>
    <font>
      <b/>
      <sz val="11"/>
      <color theme="1"/>
      <name val="Calibri"/>
      <family val="2"/>
      <scheme val="minor"/>
    </font>
    <font>
      <sz val="11"/>
      <color theme="4" tint="-0.249977111117893"/>
      <name val="Calibri"/>
      <family val="2"/>
      <scheme val="minor"/>
    </font>
    <font>
      <i/>
      <sz val="11"/>
      <color theme="1"/>
      <name val="Calibri"/>
      <family val="2"/>
      <scheme val="minor"/>
    </font>
    <font>
      <sz val="11"/>
      <color theme="6" tint="-0.249977111117893"/>
      <name val="Calibri"/>
      <family val="2"/>
      <scheme val="minor"/>
    </font>
    <font>
      <sz val="11"/>
      <color rgb="FF0070C0"/>
      <name val="Calibri"/>
      <family val="2"/>
      <scheme val="minor"/>
    </font>
    <font>
      <sz val="9"/>
      <color theme="1"/>
      <name val="Calibri"/>
      <family val="2"/>
      <scheme val="minor"/>
    </font>
    <font>
      <sz val="10"/>
      <color theme="1"/>
      <name val="Calibri"/>
      <family val="2"/>
      <scheme val="minor"/>
    </font>
    <font>
      <b/>
      <sz val="9"/>
      <color theme="1"/>
      <name val="Calibri"/>
      <family val="2"/>
      <scheme val="minor"/>
    </font>
    <font>
      <sz val="9"/>
      <color rgb="FF00B050"/>
      <name val="Calibri"/>
      <family val="2"/>
      <scheme val="minor"/>
    </font>
    <font>
      <sz val="8"/>
      <color theme="1"/>
      <name val="Calibri"/>
      <family val="2"/>
      <scheme val="minor"/>
    </font>
    <font>
      <sz val="8"/>
      <color rgb="FF000000"/>
      <name val="Arial"/>
      <family val="2"/>
    </font>
    <font>
      <sz val="8"/>
      <color rgb="FF00B050"/>
      <name val="Calibri"/>
      <family val="2"/>
      <scheme val="minor"/>
    </font>
    <font>
      <sz val="11"/>
      <color rgb="FF00B050"/>
      <name val="Calibri"/>
      <family val="2"/>
      <scheme val="minor"/>
    </font>
    <font>
      <i/>
      <sz val="26"/>
      <color theme="1"/>
      <name val="Calibri"/>
      <family val="2"/>
      <scheme val="minor"/>
    </font>
    <font>
      <sz val="12"/>
      <color theme="1"/>
      <name val="Calibri"/>
      <family val="1"/>
      <charset val="2"/>
    </font>
    <font>
      <sz val="12"/>
      <color theme="1"/>
      <name val="Symbol"/>
      <family val="1"/>
      <charset val="2"/>
    </font>
    <font>
      <u/>
      <sz val="12"/>
      <color theme="1"/>
      <name val="Calibri"/>
      <family val="2"/>
    </font>
    <font>
      <sz val="11"/>
      <color rgb="FF0000FF"/>
      <name val="Calibri"/>
      <family val="2"/>
      <scheme val="minor"/>
    </font>
    <font>
      <sz val="8"/>
      <color rgb="FF0000FF"/>
      <name val="Calibri"/>
      <family val="2"/>
      <scheme val="minor"/>
    </font>
    <font>
      <sz val="11"/>
      <color rgb="FF0070FF"/>
      <name val="Calibri"/>
      <family val="2"/>
      <scheme val="minor"/>
    </font>
    <font>
      <sz val="9"/>
      <color rgb="FF0070FF"/>
      <name val="Calibri"/>
      <family val="2"/>
      <scheme val="minor"/>
    </font>
    <font>
      <sz val="8"/>
      <color rgb="FF0070FF"/>
      <name val="Arial"/>
      <family val="2"/>
    </font>
    <font>
      <sz val="8"/>
      <color rgb="FF0070FF"/>
      <name val="Calibri"/>
      <family val="2"/>
      <scheme val="minor"/>
    </font>
    <font>
      <i/>
      <sz val="11"/>
      <color rgb="FF0070FF"/>
      <name val="Calibri"/>
      <family val="2"/>
      <scheme val="minor"/>
    </font>
    <font>
      <i/>
      <sz val="9"/>
      <color rgb="FF595959"/>
      <name val="Calibri"/>
      <family val="2"/>
    </font>
    <font>
      <b/>
      <sz val="10"/>
      <color rgb="FF000000"/>
      <name val="Calibri"/>
      <family val="2"/>
    </font>
    <font>
      <b/>
      <sz val="9"/>
      <color rgb="FF375623"/>
      <name val="Calibri"/>
      <family val="2"/>
    </font>
    <font>
      <sz val="9"/>
      <color rgb="FF000000"/>
      <name val="Calibri"/>
      <family val="2"/>
    </font>
    <font>
      <i/>
      <sz val="9"/>
      <color theme="1"/>
      <name val="Calibri"/>
      <family val="2"/>
      <scheme val="minor"/>
    </font>
    <font>
      <b/>
      <sz val="11"/>
      <color theme="4" tint="-0.249977111117893"/>
      <name val="Calibri"/>
      <family val="2"/>
      <scheme val="minor"/>
    </font>
    <font>
      <sz val="11"/>
      <color rgb="FF000000"/>
      <name val="Calibri"/>
      <family val="2"/>
    </font>
    <font>
      <i/>
      <sz val="9"/>
      <color rgb="FF7030A0"/>
      <name val="Calibri"/>
      <family val="2"/>
      <scheme val="minor"/>
    </font>
    <font>
      <i/>
      <u/>
      <sz val="11"/>
      <color theme="1"/>
      <name val="Calibri"/>
      <family val="2"/>
      <scheme val="minor"/>
    </font>
    <font>
      <u/>
      <sz val="11"/>
      <color theme="1"/>
      <name val="Calibri"/>
      <family val="2"/>
      <scheme val="minor"/>
    </font>
    <font>
      <u/>
      <sz val="11"/>
      <color rgb="FF000000"/>
      <name val="Calibri"/>
      <family val="2"/>
      <scheme val="minor"/>
    </font>
    <font>
      <sz val="9"/>
      <color theme="2" tint="-0.499984740745262"/>
      <name val="Calibri"/>
      <family val="2"/>
      <scheme val="minor"/>
    </font>
    <font>
      <sz val="8"/>
      <color theme="2" tint="-0.499984740745262"/>
      <name val="Calibri"/>
      <family val="2"/>
      <scheme val="minor"/>
    </font>
    <font>
      <b/>
      <sz val="15"/>
      <color theme="3"/>
      <name val="Calibri"/>
      <family val="2"/>
      <scheme val="minor"/>
    </font>
    <font>
      <b/>
      <sz val="14"/>
      <color rgb="FFFFFFFF"/>
      <name val="Open Sans"/>
      <family val="2"/>
    </font>
    <font>
      <b/>
      <i/>
      <sz val="12"/>
      <color theme="1"/>
      <name val="Calibri"/>
      <family val="2"/>
      <scheme val="minor"/>
    </font>
    <font>
      <b/>
      <sz val="10"/>
      <name val="Open Sans"/>
      <family val="2"/>
    </font>
    <font>
      <b/>
      <sz val="10"/>
      <color rgb="FF1F497D"/>
      <name val="Open Sans"/>
      <family val="2"/>
    </font>
    <font>
      <b/>
      <u val="singleAccounting"/>
      <sz val="10"/>
      <color rgb="FF003769"/>
      <name val="Open Sans"/>
      <family val="2"/>
    </font>
    <font>
      <b/>
      <sz val="11"/>
      <color rgb="FF0070FF"/>
      <name val="Calibri"/>
      <family val="2"/>
      <scheme val="minor"/>
    </font>
    <font>
      <b/>
      <u val="singleAccounting"/>
      <sz val="9"/>
      <color rgb="FF003769"/>
      <name val="Open Sans"/>
      <family val="2"/>
    </font>
    <font>
      <b/>
      <u/>
      <sz val="14"/>
      <color rgb="FFFFFFFF"/>
      <name val="Open Sans"/>
      <family val="2"/>
    </font>
    <font>
      <b/>
      <sz val="14"/>
      <color theme="1"/>
      <name val="Open Sans"/>
      <family val="2"/>
    </font>
    <font>
      <b/>
      <sz val="12"/>
      <color rgb="FFFFFFFF"/>
      <name val="Open Sans"/>
      <family val="2"/>
    </font>
    <font>
      <b/>
      <sz val="10"/>
      <color rgb="FFFFFFFF"/>
      <name val="Open Sans"/>
      <family val="2"/>
    </font>
    <font>
      <i/>
      <sz val="11"/>
      <color rgb="FFC00000"/>
      <name val="Calibri"/>
      <family val="2"/>
      <scheme val="minor"/>
    </font>
    <font>
      <sz val="11"/>
      <color rgb="FFC00000"/>
      <name val="Calibri"/>
      <family val="2"/>
      <scheme val="minor"/>
    </font>
    <font>
      <b/>
      <sz val="10"/>
      <color indexed="53"/>
      <name val="Open Sans"/>
      <family val="2"/>
    </font>
    <font>
      <sz val="11"/>
      <color rgb="FF000000"/>
      <name val="Calibri"/>
      <family val="2"/>
      <scheme val="minor"/>
    </font>
    <font>
      <b/>
      <i/>
      <sz val="9"/>
      <color theme="1"/>
      <name val="Calibri"/>
      <family val="2"/>
      <scheme val="minor"/>
    </font>
    <font>
      <sz val="8"/>
      <color theme="0" tint="-0.499984740745262"/>
      <name val="Calibri"/>
      <family val="2"/>
      <scheme val="minor"/>
    </font>
    <font>
      <b/>
      <sz val="8"/>
      <color theme="1"/>
      <name val="Calibri"/>
      <family val="2"/>
      <scheme val="minor"/>
    </font>
    <font>
      <b/>
      <sz val="10"/>
      <name val="Calibri"/>
      <family val="2"/>
      <scheme val="minor"/>
    </font>
    <font>
      <b/>
      <sz val="12"/>
      <color rgb="FFFFFFFF"/>
      <name val="Calibri"/>
      <family val="2"/>
      <scheme val="minor"/>
    </font>
    <font>
      <b/>
      <sz val="18"/>
      <color rgb="FFFFFFFF"/>
      <name val="Calibri"/>
      <family val="2"/>
      <scheme val="minor"/>
    </font>
    <font>
      <b/>
      <sz val="12"/>
      <name val="Calibri"/>
      <family val="2"/>
      <scheme val="minor"/>
    </font>
    <font>
      <b/>
      <sz val="14"/>
      <color rgb="FF7896AF"/>
      <name val="Open Sans"/>
      <family val="2"/>
    </font>
    <font>
      <sz val="8"/>
      <name val="Calibri"/>
      <family val="2"/>
      <scheme val="minor"/>
    </font>
    <font>
      <i/>
      <sz val="9"/>
      <name val="Calibri"/>
      <family val="2"/>
    </font>
    <font>
      <i/>
      <sz val="9"/>
      <color rgb="FF000000"/>
      <name val="Calibri"/>
      <family val="2"/>
    </font>
    <font>
      <b/>
      <sz val="9"/>
      <color rgb="FF0070FF"/>
      <name val="Calibri"/>
      <family val="2"/>
      <scheme val="minor"/>
    </font>
    <font>
      <sz val="9"/>
      <color theme="1"/>
      <name val="Arial"/>
      <family val="2"/>
    </font>
    <font>
      <b/>
      <sz val="9"/>
      <color theme="1"/>
      <name val="Arial"/>
      <family val="2"/>
    </font>
    <font>
      <b/>
      <sz val="8"/>
      <color theme="1"/>
      <name val="Arial"/>
      <family val="2"/>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D9D9D9"/>
        <bgColor indexed="64"/>
      </patternFill>
    </fill>
    <fill>
      <patternFill patternType="solid">
        <fgColor rgb="FFE2EFDA"/>
      </patternFill>
    </fill>
    <fill>
      <patternFill patternType="solid">
        <fgColor rgb="FFD6E4F0"/>
      </patternFill>
    </fill>
    <fill>
      <patternFill patternType="solid">
        <fgColor rgb="FF7896AF"/>
        <bgColor indexed="64"/>
      </patternFill>
    </fill>
    <fill>
      <patternFill patternType="solid">
        <fgColor rgb="FFDCE6EB"/>
        <bgColor indexed="64"/>
      </patternFill>
    </fill>
    <fill>
      <patternFill patternType="solid">
        <fgColor theme="0"/>
        <bgColor indexed="64"/>
      </patternFill>
    </fill>
    <fill>
      <patternFill patternType="solid">
        <fgColor rgb="FFFF0000"/>
        <bgColor indexed="64"/>
      </patternFill>
    </fill>
  </fills>
  <borders count="70">
    <border>
      <left/>
      <right/>
      <top/>
      <bottom/>
      <diagonal/>
    </border>
    <border>
      <left/>
      <right/>
      <top/>
      <bottom style="thick">
        <color theme="4"/>
      </bottom>
      <diagonal/>
    </border>
    <border>
      <left/>
      <right/>
      <top style="thick">
        <color theme="0"/>
      </top>
      <bottom/>
      <diagonal/>
    </border>
    <border>
      <left/>
      <right/>
      <top style="thin">
        <color indexed="64"/>
      </top>
      <bottom style="thin">
        <color indexed="64"/>
      </bottom>
      <diagonal/>
    </border>
    <border>
      <left/>
      <right/>
      <top/>
      <bottom style="thin">
        <color rgb="FF1F497D"/>
      </bottom>
      <diagonal/>
    </border>
    <border>
      <left/>
      <right/>
      <top style="thin">
        <color rgb="FF1F497D"/>
      </top>
      <bottom style="medium">
        <color rgb="FF1F497D"/>
      </bottom>
      <diagonal/>
    </border>
    <border>
      <left/>
      <right/>
      <top/>
      <bottom style="medium">
        <color rgb="FF1F497D"/>
      </bottom>
      <diagonal/>
    </border>
    <border>
      <left/>
      <right/>
      <top/>
      <bottom style="hair">
        <color rgb="FF1F497D"/>
      </bottom>
      <diagonal/>
    </border>
    <border>
      <left style="thin">
        <color rgb="FF1F497D"/>
      </left>
      <right/>
      <top style="thin">
        <color rgb="FF1F497D"/>
      </top>
      <bottom/>
      <diagonal/>
    </border>
    <border>
      <left/>
      <right/>
      <top style="thin">
        <color rgb="FF1F497D"/>
      </top>
      <bottom/>
      <diagonal/>
    </border>
    <border>
      <left/>
      <right style="thin">
        <color rgb="FF1F497D"/>
      </right>
      <top style="thin">
        <color rgb="FF1F497D"/>
      </top>
      <bottom/>
      <diagonal/>
    </border>
    <border>
      <left style="thin">
        <color rgb="FF1F497D"/>
      </left>
      <right/>
      <top/>
      <bottom style="thin">
        <color rgb="FF1F497D"/>
      </bottom>
      <diagonal/>
    </border>
    <border>
      <left/>
      <right style="thin">
        <color rgb="FF1F497D"/>
      </right>
      <top/>
      <bottom style="thin">
        <color rgb="FF1F497D"/>
      </bottom>
      <diagonal/>
    </border>
    <border>
      <left/>
      <right style="hair">
        <color rgb="FF1F497D"/>
      </right>
      <top/>
      <bottom/>
      <diagonal/>
    </border>
    <border>
      <left/>
      <right/>
      <top style="hair">
        <color rgb="FF1F497D"/>
      </top>
      <bottom style="double">
        <color rgb="FF1F497D"/>
      </bottom>
      <diagonal/>
    </border>
    <border>
      <left/>
      <right/>
      <top style="hair">
        <color rgb="FF1F497D"/>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right/>
      <top style="thin">
        <color rgb="FF1F497D"/>
      </top>
      <bottom style="double">
        <color rgb="FF1F497D"/>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CE6EB"/>
      </left>
      <right/>
      <top style="thin">
        <color rgb="FFDCE6EB"/>
      </top>
      <bottom style="thin">
        <color rgb="FFDCE6EB"/>
      </bottom>
      <diagonal/>
    </border>
    <border>
      <left/>
      <right/>
      <top style="thin">
        <color rgb="FFDCE6EB"/>
      </top>
      <bottom style="thin">
        <color rgb="FFDCE6EB"/>
      </bottom>
      <diagonal/>
    </border>
    <border>
      <left/>
      <right style="thin">
        <color rgb="FFDCE6EB"/>
      </right>
      <top style="thin">
        <color rgb="FFDCE6EB"/>
      </top>
      <bottom style="thin">
        <color rgb="FFDCE6EB"/>
      </bottom>
      <diagonal/>
    </border>
    <border>
      <left/>
      <right/>
      <top style="medium">
        <color rgb="FF1F497D"/>
      </top>
      <bottom style="thin">
        <color rgb="FF1F497D"/>
      </bottom>
      <diagonal/>
    </border>
    <border>
      <left/>
      <right style="hair">
        <color rgb="FF1F497D"/>
      </right>
      <top style="thin">
        <color rgb="FF1F497D"/>
      </top>
      <bottom style="medium">
        <color rgb="FF1F497D"/>
      </bottom>
      <diagonal/>
    </border>
    <border>
      <left/>
      <right style="hair">
        <color rgb="FF1F497D"/>
      </right>
      <top/>
      <bottom style="medium">
        <color rgb="FF1F497D"/>
      </bottom>
      <diagonal/>
    </border>
    <border>
      <left/>
      <right/>
      <top/>
      <bottom style="dotted">
        <color rgb="FF1F497D"/>
      </bottom>
      <diagonal/>
    </border>
    <border>
      <left/>
      <right/>
      <top style="dotted">
        <color rgb="FF1F497D"/>
      </top>
      <bottom/>
      <diagonal/>
    </border>
    <border>
      <left/>
      <right/>
      <top/>
      <bottom style="double">
        <color rgb="FF1F497D"/>
      </bottom>
      <diagonal/>
    </border>
    <border>
      <left/>
      <right/>
      <top style="dotted">
        <color rgb="FF1F497D"/>
      </top>
      <bottom style="dotted">
        <color rgb="FF1F497D"/>
      </bottom>
      <diagonal/>
    </border>
    <border>
      <left/>
      <right/>
      <top style="dotted">
        <color rgb="FF1F497D"/>
      </top>
      <bottom style="double">
        <color rgb="FF1F497D"/>
      </bottom>
      <diagonal/>
    </border>
    <border>
      <left/>
      <right style="dotted">
        <color rgb="FF1F497D"/>
      </right>
      <top/>
      <bottom/>
      <diagonal/>
    </border>
    <border>
      <left style="dotted">
        <color rgb="FF1F497D"/>
      </left>
      <right/>
      <top/>
      <bottom style="dotted">
        <color rgb="FF1F497D"/>
      </bottom>
      <diagonal/>
    </border>
    <border>
      <left/>
      <right style="dotted">
        <color rgb="FF1F497D"/>
      </right>
      <top/>
      <bottom style="dotted">
        <color rgb="FF1F497D"/>
      </bottom>
      <diagonal/>
    </border>
    <border>
      <left/>
      <right style="dotted">
        <color rgb="FF1F497D"/>
      </right>
      <top style="dotted">
        <color rgb="FF1F497D"/>
      </top>
      <bottom/>
      <diagonal/>
    </border>
    <border>
      <left style="dotted">
        <color rgb="FF1F497D"/>
      </left>
      <right/>
      <top style="dotted">
        <color rgb="FF1F497D"/>
      </top>
      <bottom/>
      <diagonal/>
    </border>
    <border>
      <left style="dotted">
        <color rgb="FF1F497D"/>
      </left>
      <right/>
      <top/>
      <bottom/>
      <diagonal/>
    </border>
    <border>
      <left/>
      <right/>
      <top style="thin">
        <color rgb="FFDCE6EB"/>
      </top>
      <bottom style="medium">
        <color rgb="FF1F497D"/>
      </bottom>
      <diagonal/>
    </border>
    <border>
      <left/>
      <right/>
      <top style="medium">
        <color rgb="FF1F497D"/>
      </top>
      <bottom style="dotted">
        <color rgb="FF1F497D"/>
      </bottom>
      <diagonal/>
    </border>
    <border>
      <left style="dotted">
        <color theme="9" tint="0.39997558519241921"/>
      </left>
      <right style="thin">
        <color indexed="64"/>
      </right>
      <top style="dotted">
        <color theme="9" tint="0.39997558519241921"/>
      </top>
      <bottom style="dotted">
        <color theme="9" tint="0.39997558519241921"/>
      </bottom>
      <diagonal/>
    </border>
    <border>
      <left style="thin">
        <color indexed="64"/>
      </left>
      <right style="thin">
        <color indexed="64"/>
      </right>
      <top style="dotted">
        <color theme="9" tint="0.39997558519241921"/>
      </top>
      <bottom style="dotted">
        <color theme="9" tint="0.39997558519241921"/>
      </bottom>
      <diagonal/>
    </border>
    <border>
      <left style="thin">
        <color indexed="64"/>
      </left>
      <right style="dotted">
        <color theme="9" tint="0.39997558519241921"/>
      </right>
      <top style="dotted">
        <color theme="9" tint="0.39997558519241921"/>
      </top>
      <bottom style="dotted">
        <color theme="9" tint="0.39997558519241921"/>
      </bottom>
      <diagonal/>
    </border>
    <border>
      <left style="dotted">
        <color theme="9" tint="0.39997558519241921"/>
      </left>
      <right/>
      <top style="dotted">
        <color theme="9" tint="0.39997558519241921"/>
      </top>
      <bottom style="dotted">
        <color theme="9" tint="0.39997558519241921"/>
      </bottom>
      <diagonal/>
    </border>
    <border>
      <left/>
      <right/>
      <top style="dotted">
        <color theme="9" tint="0.39997558519241921"/>
      </top>
      <bottom style="dotted">
        <color theme="9" tint="0.39997558519241921"/>
      </bottom>
      <diagonal/>
    </border>
    <border>
      <left/>
      <right style="dotted">
        <color theme="9" tint="0.39997558519241921"/>
      </right>
      <top style="dotted">
        <color theme="9" tint="0.39997558519241921"/>
      </top>
      <bottom style="dotted">
        <color theme="9" tint="0.39997558519241921"/>
      </bottom>
      <diagonal/>
    </border>
    <border>
      <left style="dotted">
        <color theme="9" tint="0.39997558519241921"/>
      </left>
      <right style="dotted">
        <color theme="9" tint="0.39997558519241921"/>
      </right>
      <top style="dotted">
        <color theme="9" tint="0.39997558519241921"/>
      </top>
      <bottom style="thin">
        <color rgb="FF1F497D"/>
      </bottom>
      <diagonal/>
    </border>
    <border>
      <left style="dotted">
        <color theme="9" tint="0.39997558519241921"/>
      </left>
      <right style="thin">
        <color indexed="64"/>
      </right>
      <top style="dotted">
        <color theme="9" tint="0.39997558519241921"/>
      </top>
      <bottom style="thin">
        <color rgb="FF1F497D"/>
      </bottom>
      <diagonal/>
    </border>
    <border>
      <left style="dotted">
        <color theme="9" tint="0.39997558519241921"/>
      </left>
      <right/>
      <top/>
      <bottom style="dotted">
        <color theme="9" tint="0.39997558519241921"/>
      </bottom>
      <diagonal/>
    </border>
    <border>
      <left/>
      <right/>
      <top/>
      <bottom style="dotted">
        <color theme="9" tint="0.39997558519241921"/>
      </bottom>
      <diagonal/>
    </border>
    <border>
      <left/>
      <right style="dotted">
        <color theme="9" tint="0.39997558519241921"/>
      </right>
      <top/>
      <bottom style="dotted">
        <color theme="9" tint="0.39997558519241921"/>
      </bottom>
      <diagonal/>
    </border>
    <border>
      <left style="thin">
        <color rgb="FF1F497D"/>
      </left>
      <right/>
      <top/>
      <bottom/>
      <diagonal/>
    </border>
    <border>
      <left/>
      <right style="thin">
        <color rgb="FF1F497D"/>
      </right>
      <top/>
      <bottom/>
      <diagonal/>
    </border>
    <border>
      <left style="thin">
        <color rgb="FF1F497D"/>
      </left>
      <right style="medium">
        <color theme="1"/>
      </right>
      <top style="thin">
        <color rgb="FF1F497D"/>
      </top>
      <bottom style="thin">
        <color rgb="FF1F497D"/>
      </bottom>
      <diagonal/>
    </border>
    <border>
      <left/>
      <right/>
      <top/>
      <bottom style="hair">
        <color indexed="64"/>
      </bottom>
      <diagonal/>
    </border>
    <border>
      <left/>
      <right/>
      <top style="thin">
        <color indexed="64"/>
      </top>
      <bottom/>
      <diagonal/>
    </border>
    <border>
      <left/>
      <right/>
      <top/>
      <bottom style="thin">
        <color indexed="64"/>
      </bottom>
      <diagonal/>
    </border>
    <border>
      <left/>
      <right/>
      <top style="medium">
        <color rgb="FF1F497D"/>
      </top>
      <bottom style="double">
        <color indexed="64"/>
      </bottom>
      <diagonal/>
    </border>
    <border>
      <left/>
      <right/>
      <top style="dotted">
        <color rgb="FF1F497D"/>
      </top>
      <bottom style="double">
        <color indexed="64"/>
      </bottom>
      <diagonal/>
    </border>
    <border>
      <left/>
      <right/>
      <top style="thin">
        <color rgb="FF1F497D"/>
      </top>
      <bottom style="thin">
        <color indexed="64"/>
      </bottom>
      <diagonal/>
    </border>
    <border>
      <left/>
      <right style="dotted">
        <color indexed="64"/>
      </right>
      <top/>
      <bottom/>
      <diagonal/>
    </border>
    <border>
      <left/>
      <right style="dotted">
        <color indexed="64"/>
      </right>
      <top style="dotted">
        <color rgb="FF1F497D"/>
      </top>
      <bottom/>
      <diagonal/>
    </border>
    <border>
      <left/>
      <right style="dotted">
        <color indexed="64"/>
      </right>
      <top/>
      <bottom style="dotted">
        <color rgb="FF1F497D"/>
      </bottom>
      <diagonal/>
    </border>
    <border>
      <left/>
      <right/>
      <top style="medium">
        <color rgb="FF1F497D"/>
      </top>
      <bottom/>
      <diagonal/>
    </border>
    <border>
      <left/>
      <right/>
      <top/>
      <bottom style="double">
        <color indexed="64"/>
      </bottom>
      <diagonal/>
    </border>
    <border>
      <left/>
      <right/>
      <top/>
      <bottom style="dotted">
        <color indexed="64"/>
      </bottom>
      <diagonal/>
    </border>
    <border>
      <left/>
      <right/>
      <top style="medium">
        <color rgb="FF1F497D"/>
      </top>
      <bottom style="dotted">
        <color indexed="64"/>
      </bottom>
      <diagonal/>
    </border>
    <border>
      <left/>
      <right/>
      <top style="dotted">
        <color indexed="64"/>
      </top>
      <bottom style="dotted">
        <color indexed="64"/>
      </bottom>
      <diagonal/>
    </border>
  </borders>
  <cellStyleXfs count="4">
    <xf numFmtId="0" fontId="0" fillId="0" borderId="0"/>
    <xf numFmtId="43" fontId="1" fillId="0" borderId="0" applyFont="0" applyFill="0" applyBorder="0" applyAlignment="0" applyProtection="0"/>
    <xf numFmtId="43" fontId="1" fillId="0" borderId="0"/>
    <xf numFmtId="0" fontId="39" fillId="0" borderId="1" applyNumberFormat="0" applyFill="0" applyAlignment="0" applyProtection="0"/>
  </cellStyleXfs>
  <cellXfs count="436">
    <xf numFmtId="0" fontId="0" fillId="0" borderId="0" xfId="0"/>
    <xf numFmtId="0" fontId="0" fillId="0" borderId="0" xfId="0" applyAlignment="1">
      <alignment horizontal="centerContinuous"/>
    </xf>
    <xf numFmtId="0" fontId="3" fillId="0" borderId="0" xfId="0" applyFont="1"/>
    <xf numFmtId="9" fontId="3" fillId="0" borderId="0" xfId="0" applyNumberFormat="1" applyFont="1"/>
    <xf numFmtId="2" fontId="0" fillId="0" borderId="0" xfId="0" applyNumberFormat="1"/>
    <xf numFmtId="10" fontId="3" fillId="0" borderId="0" xfId="0" applyNumberFormat="1" applyFont="1"/>
    <xf numFmtId="10" fontId="0" fillId="0" borderId="0" xfId="0" applyNumberFormat="1"/>
    <xf numFmtId="167" fontId="0" fillId="0" borderId="0" xfId="0" applyNumberFormat="1"/>
    <xf numFmtId="169" fontId="0" fillId="0" borderId="0" xfId="0" applyNumberFormat="1"/>
    <xf numFmtId="0" fontId="0" fillId="0" borderId="0" xfId="0" applyAlignment="1">
      <alignment horizontal="left"/>
    </xf>
    <xf numFmtId="0" fontId="0" fillId="0" borderId="0" xfId="0" applyAlignment="1">
      <alignment horizontal="center"/>
    </xf>
    <xf numFmtId="0" fontId="7" fillId="0" borderId="0" xfId="0" applyFont="1"/>
    <xf numFmtId="43" fontId="0" fillId="0" borderId="0" xfId="1" applyFont="1"/>
    <xf numFmtId="0" fontId="12" fillId="0" borderId="0" xfId="0" applyFont="1" applyAlignment="1">
      <alignment horizontal="left" vertical="center"/>
    </xf>
    <xf numFmtId="173" fontId="0" fillId="0" borderId="0" xfId="0" applyNumberFormat="1"/>
    <xf numFmtId="0" fontId="4" fillId="0" borderId="0" xfId="0" applyFont="1" applyAlignment="1">
      <alignment horizontal="left" vertical="center" indent="1"/>
    </xf>
    <xf numFmtId="173" fontId="7" fillId="0" borderId="0" xfId="1" applyNumberFormat="1" applyFont="1" applyBorder="1"/>
    <xf numFmtId="173" fontId="11" fillId="0" borderId="0" xfId="0" applyNumberFormat="1" applyFont="1"/>
    <xf numFmtId="173" fontId="13" fillId="0" borderId="0" xfId="0" applyNumberFormat="1" applyFont="1"/>
    <xf numFmtId="0" fontId="7" fillId="0" borderId="0" xfId="0" quotePrefix="1" applyFont="1"/>
    <xf numFmtId="0" fontId="0" fillId="4" borderId="0" xfId="0" applyFill="1" applyAlignment="1">
      <alignment horizontal="center" wrapText="1"/>
    </xf>
    <xf numFmtId="0" fontId="2" fillId="0" borderId="0" xfId="0" applyFont="1"/>
    <xf numFmtId="9" fontId="31" fillId="0" borderId="0" xfId="0" applyNumberFormat="1" applyFont="1"/>
    <xf numFmtId="0" fontId="34" fillId="0" borderId="0" xfId="0" applyFont="1"/>
    <xf numFmtId="0" fontId="35" fillId="0" borderId="0" xfId="0" applyFont="1" applyAlignment="1">
      <alignment horizontal="left" indent="1"/>
    </xf>
    <xf numFmtId="0" fontId="35" fillId="0" borderId="0" xfId="0" applyFont="1"/>
    <xf numFmtId="0" fontId="35" fillId="0" borderId="0" xfId="0" applyFont="1" applyAlignment="1">
      <alignment horizontal="left"/>
    </xf>
    <xf numFmtId="0" fontId="36" fillId="0" borderId="0" xfId="0" applyFont="1"/>
    <xf numFmtId="0" fontId="37" fillId="0" borderId="0" xfId="0" applyFont="1"/>
    <xf numFmtId="0" fontId="40" fillId="7" borderId="2" xfId="0" applyFont="1" applyFill="1" applyBorder="1" applyAlignment="1">
      <alignment vertical="center"/>
    </xf>
    <xf numFmtId="0" fontId="8" fillId="0" borderId="0" xfId="0" applyFont="1"/>
    <xf numFmtId="0" fontId="40" fillId="0" borderId="0" xfId="0" applyFont="1" applyAlignment="1">
      <alignment horizontal="center" vertical="center"/>
    </xf>
    <xf numFmtId="0" fontId="42" fillId="0" borderId="0" xfId="0" applyFont="1" applyAlignment="1">
      <alignment horizontal="left" vertical="center"/>
    </xf>
    <xf numFmtId="175" fontId="21" fillId="0" borderId="0" xfId="0" applyNumberFormat="1" applyFont="1" applyAlignment="1">
      <alignment horizontal="center"/>
    </xf>
    <xf numFmtId="173" fontId="21" fillId="0" borderId="0" xfId="0" applyNumberFormat="1" applyFont="1" applyAlignment="1">
      <alignment horizontal="center"/>
    </xf>
    <xf numFmtId="175" fontId="21" fillId="0" borderId="0" xfId="0" applyNumberFormat="1" applyFont="1"/>
    <xf numFmtId="0" fontId="40" fillId="7" borderId="2" xfId="0" applyFont="1" applyFill="1" applyBorder="1" applyAlignment="1">
      <alignment horizontal="left" vertical="center"/>
    </xf>
    <xf numFmtId="0" fontId="41" fillId="0" borderId="0" xfId="0" applyFont="1" applyAlignment="1">
      <alignment horizontal="centerContinuous"/>
    </xf>
    <xf numFmtId="0" fontId="40" fillId="0" borderId="0" xfId="0" applyFont="1" applyAlignment="1">
      <alignment horizontal="left" vertical="center"/>
    </xf>
    <xf numFmtId="0" fontId="40" fillId="0" borderId="0" xfId="0" applyFont="1" applyAlignment="1">
      <alignment horizontal="centerContinuous" vertical="center"/>
    </xf>
    <xf numFmtId="0" fontId="4" fillId="0" borderId="6" xfId="0" applyFont="1" applyBorder="1" applyAlignment="1">
      <alignment horizontal="centerContinuous" vertical="center"/>
    </xf>
    <xf numFmtId="0" fontId="0" fillId="0" borderId="0" xfId="0" applyAlignment="1">
      <alignment vertical="center"/>
    </xf>
    <xf numFmtId="0" fontId="0" fillId="0" borderId="0" xfId="0" applyAlignment="1">
      <alignment horizontal="centerContinuous" vertical="center"/>
    </xf>
    <xf numFmtId="170" fontId="45" fillId="0" borderId="6" xfId="0" applyNumberFormat="1" applyFont="1" applyBorder="1" applyAlignment="1">
      <alignment vertical="center"/>
    </xf>
    <xf numFmtId="174" fontId="45" fillId="0" borderId="6" xfId="0" applyNumberFormat="1" applyFont="1" applyBorder="1" applyAlignment="1">
      <alignment vertical="center"/>
    </xf>
    <xf numFmtId="0" fontId="37" fillId="0" borderId="0" xfId="0" applyFont="1" applyAlignment="1">
      <alignment vertical="center"/>
    </xf>
    <xf numFmtId="0" fontId="4" fillId="0" borderId="6" xfId="0" applyFont="1" applyBorder="1" applyAlignment="1">
      <alignment vertical="center"/>
    </xf>
    <xf numFmtId="0" fontId="2" fillId="0" borderId="0" xfId="0" applyFont="1" applyAlignment="1">
      <alignment vertical="center"/>
    </xf>
    <xf numFmtId="0" fontId="0" fillId="0" borderId="0" xfId="0" applyAlignment="1">
      <alignment horizontal="left" vertical="center"/>
    </xf>
    <xf numFmtId="176" fontId="0" fillId="0" borderId="0" xfId="0" applyNumberFormat="1" applyAlignment="1">
      <alignment vertical="center"/>
    </xf>
    <xf numFmtId="176" fontId="21" fillId="0" borderId="0" xfId="0" applyNumberFormat="1" applyFont="1" applyAlignment="1">
      <alignment vertical="center"/>
    </xf>
    <xf numFmtId="0" fontId="32" fillId="0" borderId="0" xfId="0" applyFont="1" applyAlignment="1">
      <alignment vertical="center" wrapText="1"/>
    </xf>
    <xf numFmtId="175" fontId="0" fillId="0" borderId="0" xfId="0" applyNumberFormat="1" applyAlignment="1">
      <alignment vertical="center"/>
    </xf>
    <xf numFmtId="175" fontId="21" fillId="0" borderId="0" xfId="0" applyNumberFormat="1" applyFont="1" applyAlignment="1">
      <alignment vertical="center"/>
    </xf>
    <xf numFmtId="173" fontId="1" fillId="0" borderId="0" xfId="1" applyNumberFormat="1" applyFont="1" applyFill="1" applyBorder="1" applyAlignment="1">
      <alignment vertical="center"/>
    </xf>
    <xf numFmtId="173" fontId="21" fillId="0" borderId="0" xfId="1" applyNumberFormat="1" applyFont="1" applyFill="1" applyBorder="1" applyAlignment="1">
      <alignment vertical="center"/>
    </xf>
    <xf numFmtId="173" fontId="14" fillId="0" borderId="0" xfId="1" applyNumberFormat="1" applyFont="1" applyFill="1" applyBorder="1" applyAlignment="1">
      <alignment vertical="center"/>
    </xf>
    <xf numFmtId="0" fontId="0" fillId="0" borderId="0" xfId="0" applyAlignment="1">
      <alignment horizontal="left" vertical="center" indent="1"/>
    </xf>
    <xf numFmtId="0" fontId="0" fillId="0" borderId="7" xfId="0" applyBorder="1" applyAlignment="1">
      <alignment horizontal="left" vertical="center" indent="1"/>
    </xf>
    <xf numFmtId="173" fontId="14" fillId="0" borderId="7" xfId="1" applyNumberFormat="1" applyFont="1" applyFill="1" applyBorder="1" applyAlignment="1">
      <alignment vertical="center"/>
    </xf>
    <xf numFmtId="173" fontId="1" fillId="0" borderId="7" xfId="1" applyNumberFormat="1" applyFont="1" applyFill="1" applyBorder="1" applyAlignment="1">
      <alignment vertical="center"/>
    </xf>
    <xf numFmtId="0" fontId="0" fillId="0" borderId="7" xfId="0" applyBorder="1" applyAlignment="1">
      <alignment vertical="center"/>
    </xf>
    <xf numFmtId="0" fontId="0" fillId="0" borderId="7" xfId="0" applyBorder="1" applyAlignment="1">
      <alignment horizontal="left" vertical="center"/>
    </xf>
    <xf numFmtId="0" fontId="2" fillId="0" borderId="0" xfId="0" applyFont="1" applyAlignment="1">
      <alignment horizontal="left" vertical="center"/>
    </xf>
    <xf numFmtId="10" fontId="0" fillId="0" borderId="0" xfId="0" applyNumberFormat="1" applyAlignment="1">
      <alignment vertical="center"/>
    </xf>
    <xf numFmtId="10" fontId="3" fillId="0" borderId="0" xfId="0" applyNumberFormat="1" applyFont="1" applyAlignment="1">
      <alignment vertical="center"/>
    </xf>
    <xf numFmtId="175" fontId="14" fillId="0" borderId="0" xfId="0" applyNumberFormat="1" applyFont="1" applyAlignment="1">
      <alignment vertical="center"/>
    </xf>
    <xf numFmtId="175" fontId="0" fillId="0" borderId="7" xfId="0" applyNumberFormat="1" applyBorder="1" applyAlignment="1">
      <alignment vertical="center"/>
    </xf>
    <xf numFmtId="0" fontId="32" fillId="0" borderId="7" xfId="0" applyFont="1" applyBorder="1" applyAlignment="1">
      <alignment vertical="center" wrapText="1"/>
    </xf>
    <xf numFmtId="0" fontId="21" fillId="0" borderId="0" xfId="0" applyFont="1" applyAlignment="1">
      <alignment vertical="center"/>
    </xf>
    <xf numFmtId="0" fontId="4" fillId="0" borderId="0" xfId="0" applyFont="1" applyAlignment="1">
      <alignment horizontal="left" vertical="center"/>
    </xf>
    <xf numFmtId="164" fontId="0" fillId="0" borderId="0" xfId="0" applyNumberFormat="1" applyAlignment="1">
      <alignment vertical="center"/>
    </xf>
    <xf numFmtId="9" fontId="21" fillId="0" borderId="0" xfId="0" applyNumberFormat="1" applyFont="1" applyAlignment="1">
      <alignment vertical="center"/>
    </xf>
    <xf numFmtId="173" fontId="5" fillId="0" borderId="0" xfId="1" applyNumberFormat="1" applyFont="1" applyFill="1" applyBorder="1" applyAlignment="1">
      <alignment vertical="center"/>
    </xf>
    <xf numFmtId="164" fontId="0" fillId="0" borderId="7" xfId="0" applyNumberFormat="1" applyBorder="1" applyAlignment="1">
      <alignment vertical="center"/>
    </xf>
    <xf numFmtId="9" fontId="21" fillId="0" borderId="7" xfId="0" applyNumberFormat="1" applyFont="1" applyBorder="1" applyAlignment="1">
      <alignment vertical="center"/>
    </xf>
    <xf numFmtId="0" fontId="4" fillId="0" borderId="7" xfId="0" applyFont="1" applyBorder="1" applyAlignment="1">
      <alignment horizontal="left" vertical="center"/>
    </xf>
    <xf numFmtId="49" fontId="46" fillId="0" borderId="0" xfId="0" applyNumberFormat="1" applyFont="1" applyAlignment="1">
      <alignment horizontal="centerContinuous" vertical="center"/>
    </xf>
    <xf numFmtId="0" fontId="25" fillId="0" borderId="6" xfId="0" applyFont="1" applyBorder="1" applyAlignment="1">
      <alignment vertical="center"/>
    </xf>
    <xf numFmtId="165" fontId="14" fillId="0" borderId="0" xfId="0" applyNumberFormat="1" applyFont="1" applyAlignment="1">
      <alignment vertical="center"/>
    </xf>
    <xf numFmtId="165" fontId="21" fillId="0" borderId="0" xfId="0" applyNumberFormat="1" applyFont="1" applyAlignment="1">
      <alignment vertical="center"/>
    </xf>
    <xf numFmtId="0" fontId="4" fillId="0" borderId="0" xfId="0" applyFont="1" applyAlignment="1">
      <alignment vertical="center"/>
    </xf>
    <xf numFmtId="164" fontId="21" fillId="0" borderId="0" xfId="0" applyNumberFormat="1" applyFont="1" applyAlignment="1">
      <alignment vertical="center"/>
    </xf>
    <xf numFmtId="164" fontId="14" fillId="0" borderId="0" xfId="0" applyNumberFormat="1" applyFont="1" applyAlignment="1">
      <alignment vertical="center"/>
    </xf>
    <xf numFmtId="9" fontId="0" fillId="0" borderId="0" xfId="0" applyNumberFormat="1" applyAlignment="1">
      <alignment vertical="center"/>
    </xf>
    <xf numFmtId="168" fontId="21" fillId="0" borderId="0" xfId="0" applyNumberFormat="1" applyFont="1" applyAlignment="1">
      <alignment vertical="center"/>
    </xf>
    <xf numFmtId="9" fontId="32" fillId="0" borderId="0" xfId="0" applyNumberFormat="1" applyFont="1" applyAlignment="1">
      <alignment vertical="center" wrapText="1"/>
    </xf>
    <xf numFmtId="10" fontId="21" fillId="0" borderId="0" xfId="0" applyNumberFormat="1" applyFont="1" applyAlignment="1">
      <alignment vertical="center"/>
    </xf>
    <xf numFmtId="173" fontId="21" fillId="0" borderId="7" xfId="1" applyNumberFormat="1" applyFont="1" applyFill="1" applyBorder="1" applyAlignment="1">
      <alignment vertical="center"/>
    </xf>
    <xf numFmtId="175" fontId="21" fillId="0" borderId="7" xfId="0" applyNumberFormat="1" applyFont="1" applyBorder="1" applyAlignment="1">
      <alignment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4" xfId="0" applyBorder="1"/>
    <xf numFmtId="0" fontId="0" fillId="0" borderId="12" xfId="0" applyBorder="1"/>
    <xf numFmtId="0" fontId="0" fillId="0" borderId="4" xfId="0" applyBorder="1" applyAlignment="1">
      <alignment horizontal="left" vertical="center"/>
    </xf>
    <xf numFmtId="173" fontId="1" fillId="0" borderId="4" xfId="1" applyNumberFormat="1" applyFont="1" applyFill="1" applyBorder="1" applyAlignment="1">
      <alignment vertical="center"/>
    </xf>
    <xf numFmtId="0" fontId="0" fillId="0" borderId="4" xfId="0" applyBorder="1" applyAlignment="1">
      <alignment vertical="center"/>
    </xf>
    <xf numFmtId="0" fontId="47" fillId="0" borderId="0" xfId="0" applyFont="1" applyAlignment="1">
      <alignment horizontal="centerContinuous" vertical="center"/>
    </xf>
    <xf numFmtId="0" fontId="48" fillId="0" borderId="0" xfId="0" applyFont="1" applyAlignment="1">
      <alignment horizontal="left" vertical="center"/>
    </xf>
    <xf numFmtId="0" fontId="35" fillId="0" borderId="0" xfId="0" applyFont="1" applyAlignment="1">
      <alignment horizontal="centerContinuous" vertical="center"/>
    </xf>
    <xf numFmtId="0" fontId="43" fillId="0" borderId="9" xfId="3" applyNumberFormat="1" applyFont="1" applyFill="1" applyBorder="1" applyAlignment="1">
      <alignment horizontal="center" vertical="center" wrapText="1"/>
    </xf>
    <xf numFmtId="0" fontId="43" fillId="0" borderId="6" xfId="3" applyNumberFormat="1" applyFont="1" applyFill="1" applyBorder="1" applyAlignment="1">
      <alignment horizontal="center" vertical="center" wrapText="1"/>
    </xf>
    <xf numFmtId="0" fontId="0" fillId="0" borderId="6" xfId="0" applyBorder="1" applyAlignment="1">
      <alignment horizontal="centerContinuous" vertical="center"/>
    </xf>
    <xf numFmtId="0" fontId="43" fillId="0" borderId="6" xfId="3" applyNumberFormat="1" applyFont="1" applyFill="1" applyBorder="1" applyAlignment="1">
      <alignment horizontal="centerContinuous" vertical="center" wrapText="1"/>
    </xf>
    <xf numFmtId="0" fontId="50" fillId="0" borderId="0" xfId="0" applyFont="1" applyAlignment="1">
      <alignment horizontal="left" vertical="center"/>
    </xf>
    <xf numFmtId="0" fontId="0" fillId="0" borderId="6" xfId="0" applyBorder="1"/>
    <xf numFmtId="0" fontId="0" fillId="0" borderId="6" xfId="0" applyBorder="1" applyAlignment="1">
      <alignment vertical="center"/>
    </xf>
    <xf numFmtId="173" fontId="1" fillId="0" borderId="0" xfId="1" applyNumberFormat="1" applyFont="1" applyFill="1" applyBorder="1" applyAlignment="1">
      <alignment horizontal="right" vertical="center"/>
    </xf>
    <xf numFmtId="173" fontId="1" fillId="0" borderId="7" xfId="1" applyNumberFormat="1" applyFont="1" applyFill="1" applyBorder="1" applyAlignment="1">
      <alignment horizontal="right" vertical="center"/>
    </xf>
    <xf numFmtId="0" fontId="2" fillId="0" borderId="14" xfId="0" applyFont="1" applyBorder="1" applyAlignment="1">
      <alignment vertical="center"/>
    </xf>
    <xf numFmtId="173" fontId="1" fillId="0" borderId="14" xfId="1" applyNumberFormat="1" applyFont="1" applyFill="1" applyBorder="1" applyAlignment="1">
      <alignment horizontal="right" vertical="center"/>
    </xf>
    <xf numFmtId="173" fontId="1" fillId="0" borderId="14" xfId="1" applyNumberFormat="1" applyFont="1" applyFill="1" applyBorder="1" applyAlignment="1">
      <alignment vertical="center"/>
    </xf>
    <xf numFmtId="43" fontId="0" fillId="0" borderId="0" xfId="0" applyNumberFormat="1" applyAlignment="1">
      <alignment horizontal="left" vertical="center"/>
    </xf>
    <xf numFmtId="43" fontId="0" fillId="0" borderId="0" xfId="0" applyNumberFormat="1" applyAlignment="1">
      <alignment vertical="center"/>
    </xf>
    <xf numFmtId="166" fontId="0" fillId="0" borderId="0" xfId="0" applyNumberFormat="1" applyAlignment="1">
      <alignment vertical="center"/>
    </xf>
    <xf numFmtId="173" fontId="0" fillId="0" borderId="0" xfId="0" applyNumberFormat="1" applyAlignment="1">
      <alignment vertical="center"/>
    </xf>
    <xf numFmtId="173" fontId="1" fillId="0" borderId="15" xfId="1" applyNumberFormat="1" applyFont="1" applyFill="1" applyBorder="1" applyAlignment="1">
      <alignment vertical="center"/>
    </xf>
    <xf numFmtId="0" fontId="2" fillId="0" borderId="9" xfId="0" applyFont="1" applyBorder="1" applyAlignment="1">
      <alignment vertical="center"/>
    </xf>
    <xf numFmtId="173" fontId="1" fillId="0" borderId="9" xfId="1" applyNumberFormat="1" applyFont="1" applyFill="1" applyBorder="1" applyAlignment="1">
      <alignment vertical="center"/>
    </xf>
    <xf numFmtId="0" fontId="2" fillId="0" borderId="19" xfId="0" applyFont="1" applyBorder="1" applyAlignment="1">
      <alignment vertical="center"/>
    </xf>
    <xf numFmtId="173" fontId="1" fillId="0" borderId="19" xfId="1" applyNumberFormat="1" applyFont="1" applyFill="1" applyBorder="1" applyAlignment="1">
      <alignment vertical="center"/>
    </xf>
    <xf numFmtId="0" fontId="0" fillId="0" borderId="15" xfId="0" applyBorder="1" applyAlignment="1">
      <alignment vertical="center"/>
    </xf>
    <xf numFmtId="0" fontId="0" fillId="0" borderId="17" xfId="0" applyBorder="1" applyAlignment="1">
      <alignment vertical="center"/>
    </xf>
    <xf numFmtId="0" fontId="51" fillId="0" borderId="5" xfId="0" applyFont="1" applyBorder="1" applyAlignment="1">
      <alignment vertical="center"/>
    </xf>
    <xf numFmtId="173" fontId="52" fillId="0" borderId="5" xfId="0" applyNumberFormat="1" applyFont="1" applyBorder="1" applyAlignment="1">
      <alignment vertical="center"/>
    </xf>
    <xf numFmtId="0" fontId="42" fillId="8" borderId="21" xfId="0" applyFont="1" applyFill="1" applyBorder="1" applyAlignment="1">
      <alignment horizontal="left" vertical="center"/>
    </xf>
    <xf numFmtId="0" fontId="42" fillId="8" borderId="22" xfId="0" applyFont="1" applyFill="1" applyBorder="1" applyAlignment="1">
      <alignment horizontal="left" vertical="center"/>
    </xf>
    <xf numFmtId="173" fontId="6" fillId="0" borderId="0" xfId="1" applyNumberFormat="1" applyFont="1" applyFill="1" applyBorder="1" applyAlignment="1">
      <alignment vertical="center"/>
    </xf>
    <xf numFmtId="173" fontId="19" fillId="0" borderId="0" xfId="1" applyNumberFormat="1" applyFont="1" applyFill="1" applyBorder="1" applyAlignment="1">
      <alignment vertical="center"/>
    </xf>
    <xf numFmtId="49" fontId="44" fillId="0" borderId="0" xfId="0" applyNumberFormat="1" applyFont="1" applyAlignment="1">
      <alignment horizontal="centerContinuous" vertical="center"/>
    </xf>
    <xf numFmtId="170" fontId="0" fillId="0" borderId="6" xfId="0" applyNumberFormat="1" applyBorder="1" applyAlignment="1">
      <alignment vertical="center"/>
    </xf>
    <xf numFmtId="0" fontId="53" fillId="0" borderId="0" xfId="0" applyFont="1" applyAlignment="1">
      <alignment horizontal="left" vertical="center"/>
    </xf>
    <xf numFmtId="0" fontId="42" fillId="8" borderId="23" xfId="0" applyFont="1" applyFill="1" applyBorder="1" applyAlignment="1">
      <alignment horizontal="left" vertical="center"/>
    </xf>
    <xf numFmtId="0" fontId="53" fillId="8" borderId="24" xfId="0" applyFont="1" applyFill="1" applyBorder="1" applyAlignment="1">
      <alignment horizontal="centerContinuous" vertical="center"/>
    </xf>
    <xf numFmtId="0" fontId="53" fillId="8" borderId="25" xfId="0" applyFont="1" applyFill="1" applyBorder="1" applyAlignment="1">
      <alignment horizontal="centerContinuous" vertical="center"/>
    </xf>
    <xf numFmtId="0" fontId="53" fillId="0" borderId="0" xfId="0" applyFont="1" applyAlignment="1">
      <alignment horizontal="centerContinuous" vertical="center"/>
    </xf>
    <xf numFmtId="0" fontId="0" fillId="0" borderId="0" xfId="0" applyAlignment="1">
      <alignment horizontal="left" vertical="center" wrapText="1" indent="1"/>
    </xf>
    <xf numFmtId="0" fontId="2" fillId="0" borderId="4" xfId="0" applyFont="1" applyBorder="1" applyAlignment="1">
      <alignment vertical="center"/>
    </xf>
    <xf numFmtId="0" fontId="0" fillId="0" borderId="0" xfId="0" applyAlignment="1">
      <alignment horizontal="right" vertical="center"/>
    </xf>
    <xf numFmtId="0" fontId="0" fillId="0" borderId="5" xfId="0" applyBorder="1" applyAlignment="1">
      <alignment horizontal="left" vertical="center"/>
    </xf>
    <xf numFmtId="173" fontId="1" fillId="0" borderId="5" xfId="1" applyNumberFormat="1" applyFont="1" applyFill="1" applyBorder="1" applyAlignment="1">
      <alignment vertical="center"/>
    </xf>
    <xf numFmtId="173" fontId="5" fillId="0" borderId="0" xfId="1" applyNumberFormat="1" applyFont="1" applyFill="1" applyAlignment="1">
      <alignment vertical="center"/>
    </xf>
    <xf numFmtId="173" fontId="6" fillId="0" borderId="0" xfId="1" applyNumberFormat="1" applyFont="1" applyFill="1" applyAlignment="1">
      <alignment vertical="center"/>
    </xf>
    <xf numFmtId="173" fontId="5" fillId="0" borderId="5" xfId="1" applyNumberFormat="1" applyFont="1" applyFill="1" applyBorder="1" applyAlignment="1">
      <alignment vertical="center"/>
    </xf>
    <xf numFmtId="170" fontId="0" fillId="0" borderId="0" xfId="0" applyNumberFormat="1" applyAlignment="1">
      <alignment vertical="center"/>
    </xf>
    <xf numFmtId="171" fontId="0" fillId="0" borderId="0" xfId="0" applyNumberFormat="1" applyAlignment="1">
      <alignment vertical="center"/>
    </xf>
    <xf numFmtId="0" fontId="2" fillId="0" borderId="5" xfId="0" applyFont="1" applyBorder="1" applyAlignment="1">
      <alignment horizontal="left" vertical="center"/>
    </xf>
    <xf numFmtId="0" fontId="2" fillId="0" borderId="5" xfId="0" applyFont="1" applyBorder="1" applyAlignment="1">
      <alignment vertical="center"/>
    </xf>
    <xf numFmtId="0" fontId="0" fillId="0" borderId="26" xfId="0" applyBorder="1" applyAlignment="1">
      <alignment vertical="center"/>
    </xf>
    <xf numFmtId="175" fontId="0" fillId="0" borderId="26" xfId="0" applyNumberFormat="1" applyBorder="1" applyAlignment="1">
      <alignment vertical="center"/>
    </xf>
    <xf numFmtId="0" fontId="0" fillId="0" borderId="0" xfId="0" quotePrefix="1" applyAlignment="1">
      <alignment horizontal="left" vertical="center" indent="1"/>
    </xf>
    <xf numFmtId="175" fontId="1" fillId="0" borderId="26" xfId="0" applyNumberFormat="1" applyFont="1" applyBorder="1" applyAlignment="1">
      <alignment vertical="center"/>
    </xf>
    <xf numFmtId="173" fontId="1" fillId="0" borderId="0" xfId="0" applyNumberFormat="1" applyFont="1" applyAlignment="1">
      <alignment vertical="center"/>
    </xf>
    <xf numFmtId="175" fontId="1" fillId="0" borderId="4" xfId="0" applyNumberFormat="1" applyFont="1" applyBorder="1" applyAlignment="1">
      <alignment vertical="center"/>
    </xf>
    <xf numFmtId="175" fontId="0" fillId="0" borderId="4" xfId="0" applyNumberFormat="1" applyBorder="1" applyAlignment="1">
      <alignment vertical="center"/>
    </xf>
    <xf numFmtId="175" fontId="1" fillId="0" borderId="26" xfId="1" applyNumberFormat="1" applyFont="1" applyFill="1" applyBorder="1" applyAlignment="1">
      <alignment vertical="center"/>
    </xf>
    <xf numFmtId="0" fontId="54" fillId="0" borderId="6" xfId="0" applyFont="1" applyBorder="1" applyAlignment="1">
      <alignment vertical="center"/>
    </xf>
    <xf numFmtId="0" fontId="42" fillId="8" borderId="25" xfId="0" applyFont="1" applyFill="1" applyBorder="1" applyAlignment="1">
      <alignment horizontal="left" vertical="center"/>
    </xf>
    <xf numFmtId="0" fontId="7" fillId="0" borderId="0" xfId="0" applyFont="1" applyAlignment="1">
      <alignment vertical="center"/>
    </xf>
    <xf numFmtId="0" fontId="22" fillId="0" borderId="0" xfId="0" applyFont="1" applyAlignment="1">
      <alignment vertical="center"/>
    </xf>
    <xf numFmtId="2" fontId="10" fillId="0" borderId="0" xfId="0" applyNumberFormat="1" applyFont="1" applyAlignment="1">
      <alignment vertical="center"/>
    </xf>
    <xf numFmtId="173" fontId="22" fillId="0" borderId="0" xfId="1" applyNumberFormat="1" applyFont="1" applyBorder="1" applyAlignment="1">
      <alignment vertical="center"/>
    </xf>
    <xf numFmtId="178" fontId="22" fillId="0" borderId="0" xfId="0" applyNumberFormat="1" applyFont="1" applyAlignment="1">
      <alignment vertical="center"/>
    </xf>
    <xf numFmtId="178" fontId="7" fillId="0" borderId="0" xfId="0" applyNumberFormat="1" applyFont="1" applyAlignment="1">
      <alignment vertical="center"/>
    </xf>
    <xf numFmtId="175" fontId="22" fillId="0" borderId="0" xfId="0" applyNumberFormat="1" applyFont="1" applyAlignment="1">
      <alignment vertical="center"/>
    </xf>
    <xf numFmtId="172" fontId="22" fillId="0" borderId="0" xfId="0" applyNumberFormat="1" applyFont="1" applyAlignment="1">
      <alignment vertical="center"/>
    </xf>
    <xf numFmtId="173" fontId="10" fillId="0" borderId="0" xfId="1" applyNumberFormat="1" applyFont="1" applyBorder="1" applyAlignment="1">
      <alignment vertical="center"/>
    </xf>
    <xf numFmtId="175" fontId="10" fillId="0" borderId="0" xfId="1" applyNumberFormat="1" applyFont="1" applyBorder="1" applyAlignment="1">
      <alignment vertical="center"/>
    </xf>
    <xf numFmtId="43" fontId="10" fillId="0" borderId="0" xfId="1" applyFont="1" applyBorder="1" applyAlignment="1">
      <alignment vertical="center"/>
    </xf>
    <xf numFmtId="43" fontId="7" fillId="0" borderId="0" xfId="1" applyFont="1" applyBorder="1" applyAlignment="1">
      <alignment vertical="center"/>
    </xf>
    <xf numFmtId="173" fontId="7" fillId="0" borderId="0" xfId="1" applyNumberFormat="1" applyFont="1" applyBorder="1" applyAlignment="1">
      <alignment vertical="center"/>
    </xf>
    <xf numFmtId="173" fontId="7" fillId="0" borderId="7" xfId="1" applyNumberFormat="1" applyFont="1" applyBorder="1" applyAlignment="1">
      <alignment vertical="center"/>
    </xf>
    <xf numFmtId="0" fontId="7" fillId="0" borderId="0" xfId="0" applyFont="1" applyAlignment="1">
      <alignment horizontal="left" vertical="center"/>
    </xf>
    <xf numFmtId="0" fontId="9" fillId="0" borderId="7" xfId="0" applyFont="1" applyBorder="1" applyAlignment="1">
      <alignment vertical="center"/>
    </xf>
    <xf numFmtId="0" fontId="55" fillId="0" borderId="0" xfId="0" applyFont="1" applyAlignment="1">
      <alignment horizontal="left" vertical="center"/>
    </xf>
    <xf numFmtId="173" fontId="7" fillId="0" borderId="4" xfId="1" applyNumberFormat="1" applyFont="1" applyBorder="1" applyAlignment="1">
      <alignment vertical="center"/>
    </xf>
    <xf numFmtId="0" fontId="7" fillId="0" borderId="0" xfId="0" applyFont="1" applyAlignment="1">
      <alignment horizontal="left" vertical="center" indent="1"/>
    </xf>
    <xf numFmtId="0" fontId="7" fillId="0" borderId="0" xfId="0" applyFont="1" applyAlignment="1">
      <alignment horizontal="left" vertical="center" indent="2"/>
    </xf>
    <xf numFmtId="0" fontId="9" fillId="0" borderId="0" xfId="0" applyFont="1" applyAlignment="1">
      <alignment vertical="center"/>
    </xf>
    <xf numFmtId="0" fontId="38" fillId="0" borderId="0" xfId="0" applyFont="1" applyAlignment="1">
      <alignment vertical="center"/>
    </xf>
    <xf numFmtId="0" fontId="7" fillId="0" borderId="0" xfId="0" applyFont="1" applyAlignment="1">
      <alignment horizontal="center" vertical="center"/>
    </xf>
    <xf numFmtId="0" fontId="7" fillId="0" borderId="4" xfId="0" applyFont="1" applyBorder="1" applyAlignment="1">
      <alignment horizontal="left" vertical="center" indent="1"/>
    </xf>
    <xf numFmtId="0" fontId="7" fillId="0" borderId="4" xfId="0" applyFont="1" applyBorder="1" applyAlignment="1">
      <alignment vertical="center"/>
    </xf>
    <xf numFmtId="0" fontId="49" fillId="7" borderId="17" xfId="0" applyFont="1" applyFill="1" applyBorder="1" applyAlignment="1">
      <alignment horizontal="centerContinuous" vertical="center"/>
    </xf>
    <xf numFmtId="173" fontId="7" fillId="0" borderId="0" xfId="1" applyNumberFormat="1" applyFont="1" applyFill="1" applyBorder="1" applyAlignment="1">
      <alignment vertical="center"/>
    </xf>
    <xf numFmtId="0" fontId="7" fillId="0" borderId="5" xfId="0" applyFont="1" applyBorder="1" applyAlignment="1">
      <alignment vertical="center"/>
    </xf>
    <xf numFmtId="0" fontId="0" fillId="0" borderId="6" xfId="0" applyBorder="1" applyAlignment="1">
      <alignment horizontal="center" vertical="center"/>
    </xf>
    <xf numFmtId="0" fontId="0" fillId="0" borderId="28" xfId="0" applyBorder="1" applyAlignment="1">
      <alignment horizontal="center" vertical="center"/>
    </xf>
    <xf numFmtId="175" fontId="7" fillId="0" borderId="13" xfId="0" applyNumberFormat="1" applyFont="1" applyBorder="1" applyAlignment="1">
      <alignment horizontal="center" vertical="center"/>
    </xf>
    <xf numFmtId="175" fontId="7" fillId="0" borderId="27" xfId="0" applyNumberFormat="1" applyFont="1" applyBorder="1" applyAlignment="1">
      <alignment horizontal="center" vertical="center"/>
    </xf>
    <xf numFmtId="175" fontId="7" fillId="0" borderId="0" xfId="0" applyNumberFormat="1" applyFont="1" applyAlignment="1">
      <alignment horizontal="center" vertical="center"/>
    </xf>
    <xf numFmtId="175" fontId="7" fillId="0" borderId="5" xfId="0" applyNumberFormat="1" applyFont="1" applyBorder="1" applyAlignment="1">
      <alignment horizontal="center" vertical="center"/>
    </xf>
    <xf numFmtId="0" fontId="52" fillId="0" borderId="19" xfId="0" applyFont="1" applyBorder="1"/>
    <xf numFmtId="43" fontId="52" fillId="0" borderId="19" xfId="0" applyNumberFormat="1" applyFont="1" applyBorder="1"/>
    <xf numFmtId="180" fontId="56" fillId="0" borderId="0" xfId="0" applyNumberFormat="1" applyFont="1" applyAlignment="1">
      <alignment horizontal="center" vertical="center"/>
    </xf>
    <xf numFmtId="172" fontId="7" fillId="0" borderId="0" xfId="0" applyNumberFormat="1" applyFont="1" applyAlignment="1">
      <alignment vertical="center"/>
    </xf>
    <xf numFmtId="172" fontId="10" fillId="0" borderId="0" xfId="0" applyNumberFormat="1" applyFont="1" applyAlignment="1">
      <alignment vertical="center"/>
    </xf>
    <xf numFmtId="0" fontId="7" fillId="0" borderId="6" xfId="0" applyFont="1" applyBorder="1" applyAlignment="1">
      <alignment vertical="center"/>
    </xf>
    <xf numFmtId="175" fontId="10" fillId="0" borderId="6" xfId="0" applyNumberFormat="1" applyFont="1" applyBorder="1" applyAlignment="1">
      <alignment vertical="center"/>
    </xf>
    <xf numFmtId="0" fontId="49" fillId="7" borderId="0" xfId="0" applyFont="1" applyFill="1" applyAlignment="1">
      <alignment horizontal="left" vertical="center"/>
    </xf>
    <xf numFmtId="173" fontId="7" fillId="0" borderId="6" xfId="1" applyNumberFormat="1" applyFont="1" applyBorder="1" applyAlignment="1">
      <alignment vertical="center"/>
    </xf>
    <xf numFmtId="0" fontId="9" fillId="0" borderId="19" xfId="0" applyFont="1" applyBorder="1" applyAlignment="1">
      <alignment vertical="center"/>
    </xf>
    <xf numFmtId="173" fontId="7" fillId="0" borderId="19" xfId="1" applyNumberFormat="1" applyFont="1" applyBorder="1" applyAlignment="1">
      <alignment vertical="center"/>
    </xf>
    <xf numFmtId="0" fontId="7" fillId="0" borderId="9" xfId="0" applyFont="1" applyBorder="1" applyAlignment="1">
      <alignment vertical="center"/>
    </xf>
    <xf numFmtId="0" fontId="9" fillId="0" borderId="6" xfId="0" applyFont="1" applyBorder="1"/>
    <xf numFmtId="175" fontId="9" fillId="0" borderId="6" xfId="0" applyNumberFormat="1" applyFont="1" applyBorder="1"/>
    <xf numFmtId="0" fontId="0" fillId="0" borderId="17" xfId="0" applyBorder="1"/>
    <xf numFmtId="0" fontId="7" fillId="0" borderId="29" xfId="0" applyFont="1" applyBorder="1"/>
    <xf numFmtId="173" fontId="7" fillId="0" borderId="29" xfId="1" applyNumberFormat="1" applyFont="1" applyBorder="1"/>
    <xf numFmtId="0" fontId="7" fillId="0" borderId="29" xfId="0" applyFont="1" applyBorder="1" applyAlignment="1">
      <alignment vertical="center"/>
    </xf>
    <xf numFmtId="0" fontId="7" fillId="0" borderId="30" xfId="0" applyFont="1" applyBorder="1" applyAlignment="1">
      <alignment vertical="center"/>
    </xf>
    <xf numFmtId="0" fontId="22" fillId="0" borderId="30" xfId="0" applyFont="1" applyBorder="1" applyAlignment="1">
      <alignment vertical="center"/>
    </xf>
    <xf numFmtId="173" fontId="10" fillId="0" borderId="30" xfId="1" applyNumberFormat="1" applyFont="1" applyBorder="1" applyAlignment="1">
      <alignment vertical="center"/>
    </xf>
    <xf numFmtId="173" fontId="7" fillId="0" borderId="30" xfId="1" applyNumberFormat="1" applyFont="1" applyBorder="1" applyAlignment="1">
      <alignment vertical="center"/>
    </xf>
    <xf numFmtId="173" fontId="7" fillId="0" borderId="9" xfId="1" applyNumberFormat="1" applyFont="1" applyBorder="1" applyAlignment="1">
      <alignment vertical="center"/>
    </xf>
    <xf numFmtId="0" fontId="7" fillId="0" borderId="6" xfId="0" applyFont="1" applyBorder="1" applyAlignment="1">
      <alignment horizontal="left" vertical="center" indent="1"/>
    </xf>
    <xf numFmtId="0" fontId="55" fillId="0" borderId="30" xfId="0" applyFont="1" applyBorder="1" applyAlignment="1">
      <alignment horizontal="left" vertical="center"/>
    </xf>
    <xf numFmtId="0" fontId="9" fillId="0" borderId="29" xfId="0" applyFont="1" applyBorder="1" applyAlignment="1">
      <alignment vertical="center"/>
    </xf>
    <xf numFmtId="173" fontId="9" fillId="0" borderId="29" xfId="1" applyNumberFormat="1" applyFont="1" applyBorder="1" applyAlignment="1">
      <alignment vertical="center"/>
    </xf>
    <xf numFmtId="173" fontId="7" fillId="0" borderId="29" xfId="1" applyNumberFormat="1" applyFont="1" applyBorder="1" applyAlignment="1">
      <alignment vertical="center"/>
    </xf>
    <xf numFmtId="173" fontId="10" fillId="0" borderId="0" xfId="0" applyNumberFormat="1" applyFont="1" applyAlignment="1">
      <alignment vertical="center"/>
    </xf>
    <xf numFmtId="173" fontId="10" fillId="0" borderId="30" xfId="0" applyNumberFormat="1" applyFont="1" applyBorder="1" applyAlignment="1">
      <alignment vertical="center"/>
    </xf>
    <xf numFmtId="173" fontId="22" fillId="0" borderId="30" xfId="1" applyNumberFormat="1" applyFont="1" applyBorder="1" applyAlignment="1">
      <alignment vertical="center"/>
    </xf>
    <xf numFmtId="178" fontId="10" fillId="0" borderId="0" xfId="1" applyNumberFormat="1" applyFont="1" applyBorder="1" applyAlignment="1">
      <alignment vertical="center"/>
    </xf>
    <xf numFmtId="179" fontId="10" fillId="0" borderId="0" xfId="0" applyNumberFormat="1" applyFont="1" applyAlignment="1">
      <alignment vertical="center"/>
    </xf>
    <xf numFmtId="179" fontId="7" fillId="0" borderId="0" xfId="0" applyNumberFormat="1" applyFont="1" applyAlignment="1">
      <alignment vertical="center"/>
    </xf>
    <xf numFmtId="175" fontId="10" fillId="0" borderId="4" xfId="0" applyNumberFormat="1" applyFont="1" applyBorder="1" applyAlignment="1">
      <alignment vertical="center"/>
    </xf>
    <xf numFmtId="0" fontId="10" fillId="0" borderId="29" xfId="0" applyFont="1" applyBorder="1" applyAlignment="1">
      <alignment horizontal="right" vertical="center"/>
    </xf>
    <xf numFmtId="173" fontId="10" fillId="0" borderId="29" xfId="1" applyNumberFormat="1" applyFont="1" applyBorder="1" applyAlignment="1">
      <alignment vertical="center"/>
    </xf>
    <xf numFmtId="0" fontId="0" fillId="0" borderId="6" xfId="0" applyBorder="1" applyAlignment="1">
      <alignment horizontal="center" vertical="center" wrapText="1"/>
    </xf>
    <xf numFmtId="178" fontId="7" fillId="0" borderId="0" xfId="0" applyNumberFormat="1" applyFont="1" applyAlignment="1">
      <alignment horizontal="center" vertical="center"/>
    </xf>
    <xf numFmtId="0" fontId="50" fillId="7" borderId="2" xfId="0" applyFont="1" applyFill="1" applyBorder="1" applyAlignment="1">
      <alignment vertical="center"/>
    </xf>
    <xf numFmtId="0" fontId="7" fillId="0" borderId="31" xfId="0" applyFont="1" applyBorder="1" applyAlignment="1">
      <alignment vertical="center"/>
    </xf>
    <xf numFmtId="173" fontId="13" fillId="0" borderId="0" xfId="0" applyNumberFormat="1" applyFont="1" applyAlignment="1">
      <alignment vertical="center"/>
    </xf>
    <xf numFmtId="173" fontId="11" fillId="0" borderId="0" xfId="0" applyNumberFormat="1" applyFont="1" applyAlignment="1">
      <alignment vertical="center"/>
    </xf>
    <xf numFmtId="0" fontId="50" fillId="0" borderId="0" xfId="0" applyFont="1" applyAlignment="1">
      <alignment vertical="center"/>
    </xf>
    <xf numFmtId="0" fontId="50" fillId="0" borderId="6" xfId="0" applyFont="1" applyBorder="1" applyAlignment="1">
      <alignment vertical="center"/>
    </xf>
    <xf numFmtId="173" fontId="13" fillId="0" borderId="4" xfId="0" applyNumberFormat="1" applyFont="1" applyBorder="1" applyAlignment="1">
      <alignment vertical="center"/>
    </xf>
    <xf numFmtId="0" fontId="7" fillId="0" borderId="19" xfId="0" applyFont="1" applyBorder="1" applyAlignment="1">
      <alignment vertical="center"/>
    </xf>
    <xf numFmtId="173" fontId="11" fillId="0" borderId="19" xfId="0" applyNumberFormat="1" applyFont="1" applyBorder="1" applyAlignment="1">
      <alignment vertical="center"/>
    </xf>
    <xf numFmtId="173" fontId="13" fillId="0" borderId="29" xfId="0" applyNumberFormat="1" applyFont="1" applyBorder="1" applyAlignment="1">
      <alignment vertical="center"/>
    </xf>
    <xf numFmtId="173" fontId="11" fillId="0" borderId="29" xfId="0" applyNumberFormat="1" applyFont="1" applyBorder="1" applyAlignment="1">
      <alignment vertical="center"/>
    </xf>
    <xf numFmtId="173" fontId="57" fillId="0" borderId="29" xfId="0" applyNumberFormat="1" applyFont="1" applyBorder="1" applyAlignment="1">
      <alignment vertical="center"/>
    </xf>
    <xf numFmtId="0" fontId="0" fillId="0" borderId="6" xfId="0" applyBorder="1" applyAlignment="1">
      <alignment horizontal="right" vertical="center"/>
    </xf>
    <xf numFmtId="0" fontId="0" fillId="0" borderId="6" xfId="0" applyBorder="1" applyAlignment="1">
      <alignment horizontal="right" vertical="center" wrapText="1"/>
    </xf>
    <xf numFmtId="0" fontId="11" fillId="0" borderId="0" xfId="0" applyFont="1" applyAlignment="1">
      <alignment vertical="center"/>
    </xf>
    <xf numFmtId="0" fontId="12" fillId="0" borderId="30" xfId="0" applyFont="1" applyBorder="1" applyAlignment="1">
      <alignment horizontal="left" vertical="center"/>
    </xf>
    <xf numFmtId="0" fontId="12" fillId="0" borderId="32" xfId="0" applyFont="1" applyBorder="1" applyAlignment="1">
      <alignment horizontal="left" vertical="center"/>
    </xf>
    <xf numFmtId="0" fontId="12" fillId="0" borderId="33" xfId="0" applyFont="1" applyBorder="1" applyAlignment="1">
      <alignment horizontal="left" vertical="center"/>
    </xf>
    <xf numFmtId="177" fontId="23" fillId="0" borderId="0" xfId="0" applyNumberFormat="1" applyFont="1" applyAlignment="1">
      <alignment horizontal="center" vertical="center"/>
    </xf>
    <xf numFmtId="177" fontId="23" fillId="0" borderId="30" xfId="0" applyNumberFormat="1" applyFont="1" applyBorder="1" applyAlignment="1">
      <alignment horizontal="center" vertical="center"/>
    </xf>
    <xf numFmtId="177" fontId="23" fillId="0" borderId="32" xfId="0" applyNumberFormat="1" applyFont="1" applyBorder="1" applyAlignment="1">
      <alignment horizontal="center" vertical="center"/>
    </xf>
    <xf numFmtId="177" fontId="23" fillId="0" borderId="33" xfId="0" applyNumberFormat="1" applyFont="1" applyBorder="1" applyAlignment="1">
      <alignment horizontal="center" vertical="center"/>
    </xf>
    <xf numFmtId="173" fontId="11" fillId="0" borderId="0" xfId="0" applyNumberFormat="1" applyFont="1" applyAlignment="1">
      <alignment horizontal="right" vertical="center"/>
    </xf>
    <xf numFmtId="173" fontId="24" fillId="0" borderId="30" xfId="0" applyNumberFormat="1" applyFont="1" applyBorder="1" applyAlignment="1">
      <alignment horizontal="right" vertical="center"/>
    </xf>
    <xf numFmtId="173" fontId="11" fillId="0" borderId="30" xfId="0" applyNumberFormat="1" applyFont="1" applyBorder="1" applyAlignment="1">
      <alignment horizontal="right" vertical="center"/>
    </xf>
    <xf numFmtId="173" fontId="24" fillId="0" borderId="0" xfId="0" applyNumberFormat="1" applyFont="1" applyAlignment="1">
      <alignment horizontal="right" vertical="center"/>
    </xf>
    <xf numFmtId="173" fontId="13" fillId="0" borderId="0" xfId="0" applyNumberFormat="1" applyFont="1" applyAlignment="1">
      <alignment horizontal="right" vertical="center"/>
    </xf>
    <xf numFmtId="173" fontId="13" fillId="0" borderId="32" xfId="0" applyNumberFormat="1" applyFont="1" applyBorder="1" applyAlignment="1">
      <alignment horizontal="right" vertical="center"/>
    </xf>
    <xf numFmtId="173" fontId="20" fillId="0" borderId="32" xfId="0" applyNumberFormat="1" applyFont="1" applyBorder="1" applyAlignment="1">
      <alignment horizontal="right" vertical="center"/>
    </xf>
    <xf numFmtId="173" fontId="11" fillId="0" borderId="32" xfId="0" applyNumberFormat="1" applyFont="1" applyBorder="1" applyAlignment="1">
      <alignment horizontal="right" vertical="center"/>
    </xf>
    <xf numFmtId="173" fontId="11" fillId="0" borderId="33" xfId="0" applyNumberFormat="1" applyFont="1" applyBorder="1" applyAlignment="1">
      <alignment horizontal="right" vertical="center"/>
    </xf>
    <xf numFmtId="173" fontId="13" fillId="0" borderId="33" xfId="0" applyNumberFormat="1" applyFont="1" applyBorder="1" applyAlignment="1">
      <alignment horizontal="right" vertical="center"/>
    </xf>
    <xf numFmtId="173" fontId="11" fillId="0" borderId="29" xfId="0" applyNumberFormat="1" applyFont="1" applyBorder="1" applyAlignment="1">
      <alignment horizontal="right" vertical="center"/>
    </xf>
    <xf numFmtId="173" fontId="11" fillId="0" borderId="31" xfId="0" applyNumberFormat="1" applyFont="1" applyBorder="1" applyAlignment="1">
      <alignment horizontal="right" vertical="center"/>
    </xf>
    <xf numFmtId="175" fontId="22" fillId="0" borderId="0" xfId="0" applyNumberFormat="1" applyFont="1" applyAlignment="1">
      <alignment horizontal="right" vertical="center"/>
    </xf>
    <xf numFmtId="0" fontId="22" fillId="0" borderId="0" xfId="0" applyFont="1" applyAlignment="1">
      <alignment horizontal="right" vertical="center"/>
    </xf>
    <xf numFmtId="0" fontId="7" fillId="0" borderId="0" xfId="0" applyFont="1" applyAlignment="1">
      <alignment horizontal="center" vertical="center" wrapText="1"/>
    </xf>
    <xf numFmtId="2" fontId="7" fillId="2" borderId="0" xfId="0" applyNumberFormat="1" applyFont="1" applyFill="1" applyAlignment="1">
      <alignment vertical="center"/>
    </xf>
    <xf numFmtId="0" fontId="50" fillId="7" borderId="0" xfId="0" applyFont="1" applyFill="1" applyAlignment="1">
      <alignment horizontal="centerContinuous" vertical="center"/>
    </xf>
    <xf numFmtId="10" fontId="7" fillId="0" borderId="34" xfId="0" applyNumberFormat="1" applyFont="1" applyBorder="1" applyAlignment="1">
      <alignment vertical="center"/>
    </xf>
    <xf numFmtId="10" fontId="7" fillId="0" borderId="36" xfId="0" applyNumberFormat="1" applyFont="1" applyBorder="1" applyAlignment="1">
      <alignment vertical="center"/>
    </xf>
    <xf numFmtId="172" fontId="7" fillId="0" borderId="35" xfId="0" applyNumberFormat="1" applyFont="1" applyBorder="1" applyAlignment="1">
      <alignment horizontal="center" vertical="center"/>
    </xf>
    <xf numFmtId="172" fontId="7" fillId="0" borderId="37" xfId="0" applyNumberFormat="1" applyFont="1" applyBorder="1" applyAlignment="1">
      <alignment horizontal="right" vertical="center"/>
    </xf>
    <xf numFmtId="10" fontId="7" fillId="0" borderId="38" xfId="0" applyNumberFormat="1" applyFont="1" applyBorder="1" applyAlignment="1">
      <alignment vertical="center"/>
    </xf>
    <xf numFmtId="10" fontId="7" fillId="0" borderId="30" xfId="0" applyNumberFormat="1" applyFont="1" applyBorder="1" applyAlignment="1">
      <alignment vertical="center"/>
    </xf>
    <xf numFmtId="0" fontId="0" fillId="0" borderId="30" xfId="0" applyBorder="1" applyAlignment="1">
      <alignment vertical="center"/>
    </xf>
    <xf numFmtId="172" fontId="7" fillId="2" borderId="39" xfId="0" applyNumberFormat="1" applyFont="1" applyFill="1" applyBorder="1" applyAlignment="1">
      <alignment horizontal="center" vertical="center"/>
    </xf>
    <xf numFmtId="0" fontId="0" fillId="0" borderId="39" xfId="0" applyBorder="1" applyAlignment="1">
      <alignment vertical="center"/>
    </xf>
    <xf numFmtId="0" fontId="0" fillId="0" borderId="35" xfId="0" applyBorder="1" applyAlignment="1">
      <alignment vertical="center"/>
    </xf>
    <xf numFmtId="0" fontId="58" fillId="8" borderId="23" xfId="0" applyFont="1" applyFill="1" applyBorder="1" applyAlignment="1">
      <alignment horizontal="left" vertical="center"/>
    </xf>
    <xf numFmtId="0" fontId="59" fillId="7" borderId="2" xfId="0" applyFont="1" applyFill="1" applyBorder="1" applyAlignment="1">
      <alignment vertical="center"/>
    </xf>
    <xf numFmtId="0" fontId="59" fillId="7" borderId="0" xfId="0" applyFont="1" applyFill="1" applyAlignment="1">
      <alignment horizontal="centerContinuous" vertical="center"/>
    </xf>
    <xf numFmtId="0" fontId="59" fillId="7" borderId="2" xfId="0" applyFont="1" applyFill="1" applyBorder="1" applyAlignment="1">
      <alignment horizontal="left" vertical="center"/>
    </xf>
    <xf numFmtId="0" fontId="59" fillId="7" borderId="17" xfId="0" applyFont="1" applyFill="1" applyBorder="1" applyAlignment="1">
      <alignment horizontal="centerContinuous" vertical="center"/>
    </xf>
    <xf numFmtId="0" fontId="59" fillId="7" borderId="17" xfId="0" applyFont="1" applyFill="1" applyBorder="1" applyAlignment="1">
      <alignment horizontal="left" vertical="center"/>
    </xf>
    <xf numFmtId="0" fontId="59" fillId="7" borderId="0" xfId="0" applyFont="1" applyFill="1" applyAlignment="1">
      <alignment horizontal="left" vertical="center"/>
    </xf>
    <xf numFmtId="173" fontId="7" fillId="0" borderId="0" xfId="1" applyNumberFormat="1" applyFont="1" applyBorder="1" applyAlignment="1">
      <alignment horizontal="right" vertical="center"/>
    </xf>
    <xf numFmtId="173" fontId="7" fillId="0" borderId="5" xfId="1" applyNumberFormat="1" applyFont="1" applyBorder="1" applyAlignment="1">
      <alignment horizontal="right" vertical="center"/>
    </xf>
    <xf numFmtId="173" fontId="7" fillId="0" borderId="0" xfId="1" applyNumberFormat="1" applyFont="1" applyFill="1" applyBorder="1" applyAlignment="1">
      <alignment horizontal="right" vertical="center"/>
    </xf>
    <xf numFmtId="0" fontId="60" fillId="7" borderId="2" xfId="0" applyFont="1" applyFill="1" applyBorder="1" applyAlignment="1">
      <alignment horizontal="left" vertical="center"/>
    </xf>
    <xf numFmtId="0" fontId="61" fillId="8" borderId="20" xfId="0" applyFont="1" applyFill="1" applyBorder="1" applyAlignment="1">
      <alignment horizontal="left" vertical="center"/>
    </xf>
    <xf numFmtId="0" fontId="61" fillId="8" borderId="23" xfId="0" applyFont="1" applyFill="1" applyBorder="1" applyAlignment="1">
      <alignment horizontal="left" vertical="center"/>
    </xf>
    <xf numFmtId="0" fontId="15" fillId="3" borderId="3" xfId="0" applyFont="1" applyFill="1" applyBorder="1" applyAlignment="1">
      <alignment horizontal="center" vertical="center"/>
    </xf>
    <xf numFmtId="0" fontId="16" fillId="0" borderId="0" xfId="0" applyFont="1" applyAlignment="1">
      <alignment vertical="center"/>
    </xf>
    <xf numFmtId="0" fontId="62" fillId="7" borderId="2" xfId="0" applyFont="1" applyFill="1" applyBorder="1" applyAlignment="1">
      <alignment horizontal="left" vertical="center"/>
    </xf>
    <xf numFmtId="0" fontId="58" fillId="9" borderId="40" xfId="0" applyFont="1" applyFill="1" applyBorder="1" applyAlignment="1">
      <alignment horizontal="left" vertical="center"/>
    </xf>
    <xf numFmtId="0" fontId="63" fillId="9" borderId="40" xfId="0" applyFont="1" applyFill="1" applyBorder="1" applyAlignment="1">
      <alignment horizontal="right" vertical="center"/>
    </xf>
    <xf numFmtId="0" fontId="59" fillId="9" borderId="6" xfId="0" applyFont="1" applyFill="1" applyBorder="1" applyAlignment="1">
      <alignment horizontal="left" vertical="center"/>
    </xf>
    <xf numFmtId="0" fontId="57" fillId="9" borderId="6" xfId="0" applyFont="1" applyFill="1" applyBorder="1" applyAlignment="1">
      <alignment horizontal="right" vertical="center"/>
    </xf>
    <xf numFmtId="178" fontId="7" fillId="0" borderId="6" xfId="0" applyNumberFormat="1" applyFont="1" applyBorder="1" applyAlignment="1">
      <alignment horizontal="right" vertical="center"/>
    </xf>
    <xf numFmtId="0" fontId="7" fillId="0" borderId="29" xfId="0" applyFont="1" applyBorder="1" applyAlignment="1">
      <alignment horizontal="left" vertical="center" indent="1"/>
    </xf>
    <xf numFmtId="173" fontId="11" fillId="0" borderId="4" xfId="0" applyNumberFormat="1" applyFont="1" applyBorder="1" applyAlignment="1">
      <alignment vertical="center"/>
    </xf>
    <xf numFmtId="0" fontId="59" fillId="7" borderId="2" xfId="0" applyFont="1" applyFill="1" applyBorder="1" applyAlignment="1">
      <alignment horizontal="centerContinuous" vertical="center"/>
    </xf>
    <xf numFmtId="0" fontId="27" fillId="0" borderId="6" xfId="0" applyFont="1" applyBorder="1" applyAlignment="1">
      <alignment horizontal="centerContinuous" vertical="center"/>
    </xf>
    <xf numFmtId="0" fontId="27" fillId="0" borderId="6" xfId="0" applyFont="1" applyBorder="1" applyAlignment="1">
      <alignment horizontal="center" vertical="center"/>
    </xf>
    <xf numFmtId="0" fontId="27" fillId="0" borderId="5" xfId="0" applyFont="1" applyBorder="1" applyAlignment="1">
      <alignment horizontal="center" vertical="center" wrapText="1"/>
    </xf>
    <xf numFmtId="0" fontId="28" fillId="5" borderId="42" xfId="0" applyFont="1" applyFill="1" applyBorder="1" applyAlignment="1">
      <alignment horizontal="centerContinuous" vertical="center"/>
    </xf>
    <xf numFmtId="0" fontId="0" fillId="5" borderId="43" xfId="0" applyFill="1" applyBorder="1" applyAlignment="1">
      <alignment horizontal="centerContinuous" vertical="center"/>
    </xf>
    <xf numFmtId="0" fontId="0" fillId="5" borderId="44" xfId="0" applyFill="1" applyBorder="1" applyAlignment="1">
      <alignment horizontal="centerContinuous" vertical="center"/>
    </xf>
    <xf numFmtId="0" fontId="28" fillId="5" borderId="45" xfId="0" applyFont="1" applyFill="1" applyBorder="1" applyAlignment="1">
      <alignment horizontal="centerContinuous" vertical="center"/>
    </xf>
    <xf numFmtId="0" fontId="0" fillId="5" borderId="46" xfId="0" applyFill="1" applyBorder="1" applyAlignment="1">
      <alignment horizontal="centerContinuous" vertical="center"/>
    </xf>
    <xf numFmtId="0" fontId="0" fillId="5" borderId="47" xfId="0" applyFill="1" applyBorder="1" applyAlignment="1">
      <alignment horizontal="centerContinuous" vertical="center"/>
    </xf>
    <xf numFmtId="0" fontId="28" fillId="5" borderId="49" xfId="0" applyFont="1" applyFill="1" applyBorder="1" applyAlignment="1">
      <alignment horizontal="centerContinuous" vertical="center"/>
    </xf>
    <xf numFmtId="0" fontId="28" fillId="5" borderId="48" xfId="0" applyFont="1" applyFill="1" applyBorder="1" applyAlignment="1">
      <alignment horizontal="centerContinuous" vertical="center"/>
    </xf>
    <xf numFmtId="0" fontId="29" fillId="0" borderId="29" xfId="0" applyFont="1" applyBorder="1" applyAlignment="1">
      <alignment horizontal="left" vertical="center" wrapText="1"/>
    </xf>
    <xf numFmtId="0" fontId="29" fillId="0" borderId="32" xfId="0" applyFont="1" applyBorder="1" applyAlignment="1">
      <alignment horizontal="left" vertical="center" wrapText="1"/>
    </xf>
    <xf numFmtId="0" fontId="29" fillId="0" borderId="30" xfId="0" applyFont="1" applyBorder="1" applyAlignment="1">
      <alignment horizontal="left" vertical="center" wrapText="1"/>
    </xf>
    <xf numFmtId="0" fontId="29" fillId="0" borderId="0" xfId="0" applyFont="1" applyAlignment="1">
      <alignment horizontal="left" vertical="center" wrapText="1"/>
    </xf>
    <xf numFmtId="0" fontId="29" fillId="0" borderId="41" xfId="0" applyFont="1" applyBorder="1" applyAlignment="1">
      <alignment horizontal="centerContinuous" vertical="center" wrapText="1"/>
    </xf>
    <xf numFmtId="0" fontId="0" fillId="0" borderId="41" xfId="0" applyBorder="1" applyAlignment="1">
      <alignment horizontal="centerContinuous" vertical="center"/>
    </xf>
    <xf numFmtId="0" fontId="29" fillId="0" borderId="32" xfId="0" applyFont="1" applyBorder="1" applyAlignment="1">
      <alignment horizontal="centerContinuous" vertical="center" wrapText="1"/>
    </xf>
    <xf numFmtId="0" fontId="0" fillId="0" borderId="32" xfId="0" applyBorder="1" applyAlignment="1">
      <alignment horizontal="centerContinuous" vertical="center"/>
    </xf>
    <xf numFmtId="0" fontId="64" fillId="0" borderId="41" xfId="0" applyFont="1" applyBorder="1" applyAlignment="1">
      <alignment horizontal="left" vertical="center" wrapText="1"/>
    </xf>
    <xf numFmtId="0" fontId="64" fillId="0" borderId="32" xfId="0" applyFont="1" applyBorder="1" applyAlignment="1">
      <alignment horizontal="left" vertical="center" wrapText="1"/>
    </xf>
    <xf numFmtId="0" fontId="65" fillId="0" borderId="29" xfId="0" applyFont="1" applyBorder="1" applyAlignment="1">
      <alignment horizontal="left" vertical="center" wrapText="1"/>
    </xf>
    <xf numFmtId="0" fontId="65" fillId="0" borderId="32" xfId="0" applyFont="1" applyBorder="1" applyAlignment="1">
      <alignment horizontal="left" vertical="center" wrapText="1"/>
    </xf>
    <xf numFmtId="0" fontId="65" fillId="0" borderId="30" xfId="0" applyFont="1" applyBorder="1" applyAlignment="1">
      <alignment horizontal="left" vertical="center" wrapText="1"/>
    </xf>
    <xf numFmtId="0" fontId="4" fillId="5" borderId="46" xfId="0" applyFont="1" applyFill="1" applyBorder="1" applyAlignment="1">
      <alignment horizontal="centerContinuous" vertical="center"/>
    </xf>
    <xf numFmtId="0" fontId="65" fillId="0" borderId="0" xfId="0" applyFont="1" applyAlignment="1">
      <alignment horizontal="left" vertical="center" wrapText="1"/>
    </xf>
    <xf numFmtId="0" fontId="4" fillId="5" borderId="43" xfId="0" applyFont="1" applyFill="1" applyBorder="1" applyAlignment="1">
      <alignment horizontal="centerContinuous" vertical="center"/>
    </xf>
    <xf numFmtId="0" fontId="28" fillId="5" borderId="50" xfId="0" applyFont="1" applyFill="1" applyBorder="1" applyAlignment="1">
      <alignment horizontal="centerContinuous" vertical="center"/>
    </xf>
    <xf numFmtId="0" fontId="0" fillId="5" borderId="51" xfId="0" applyFill="1" applyBorder="1" applyAlignment="1">
      <alignment horizontal="centerContinuous" vertical="center"/>
    </xf>
    <xf numFmtId="0" fontId="0" fillId="5" borderId="52" xfId="0" applyFill="1" applyBorder="1" applyAlignment="1">
      <alignment horizontal="centerContinuous" vertical="center"/>
    </xf>
    <xf numFmtId="0" fontId="26" fillId="6" borderId="26" xfId="0" applyFont="1" applyFill="1" applyBorder="1" applyAlignment="1">
      <alignment horizontal="centerContinuous" vertical="center"/>
    </xf>
    <xf numFmtId="0" fontId="0" fillId="6" borderId="26" xfId="0" applyFill="1" applyBorder="1" applyAlignment="1">
      <alignment horizontal="centerContinuous" vertical="center"/>
    </xf>
    <xf numFmtId="0" fontId="0" fillId="0" borderId="16" xfId="0" applyBorder="1" applyAlignment="1">
      <alignment horizontal="centerContinuous" vertical="center" wrapText="1"/>
    </xf>
    <xf numFmtId="0" fontId="0" fillId="0" borderId="17" xfId="0" applyBorder="1" applyAlignment="1">
      <alignment horizontal="centerContinuous" vertical="center"/>
    </xf>
    <xf numFmtId="0" fontId="0" fillId="0" borderId="17" xfId="0" applyBorder="1" applyAlignment="1">
      <alignment horizontal="centerContinuous"/>
    </xf>
    <xf numFmtId="0" fontId="0" fillId="0" borderId="18" xfId="0" applyBorder="1" applyAlignment="1">
      <alignment horizontal="centerContinuous"/>
    </xf>
    <xf numFmtId="0" fontId="4" fillId="0" borderId="16" xfId="0" applyFont="1" applyBorder="1" applyAlignment="1">
      <alignment vertical="center"/>
    </xf>
    <xf numFmtId="0" fontId="0" fillId="0" borderId="18" xfId="0" applyBorder="1"/>
    <xf numFmtId="0" fontId="0" fillId="0" borderId="16" xfId="0" applyBorder="1" applyAlignment="1">
      <alignment vertical="center"/>
    </xf>
    <xf numFmtId="0" fontId="0" fillId="0" borderId="18" xfId="0" applyBorder="1" applyAlignment="1">
      <alignment vertical="center"/>
    </xf>
    <xf numFmtId="0" fontId="0" fillId="0" borderId="16" xfId="0" applyBorder="1" applyAlignment="1">
      <alignment horizontal="centerContinuous" wrapText="1"/>
    </xf>
    <xf numFmtId="0" fontId="0" fillId="0" borderId="17" xfId="0" applyBorder="1" applyAlignment="1">
      <alignment horizontal="centerContinuous" wrapText="1"/>
    </xf>
    <xf numFmtId="0" fontId="0" fillId="0" borderId="18" xfId="0" applyBorder="1" applyAlignment="1">
      <alignment horizontal="centerContinuous" wrapText="1"/>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8" xfId="0" applyBorder="1" applyAlignment="1">
      <alignment horizontal="centerContinuous" wrapText="1"/>
    </xf>
    <xf numFmtId="0" fontId="0" fillId="0" borderId="9" xfId="0" applyBorder="1" applyAlignment="1">
      <alignment horizontal="centerContinuous" wrapText="1"/>
    </xf>
    <xf numFmtId="0" fontId="0" fillId="0" borderId="10" xfId="0" applyBorder="1" applyAlignment="1">
      <alignment horizontal="centerContinuous" wrapText="1"/>
    </xf>
    <xf numFmtId="0" fontId="0" fillId="0" borderId="53" xfId="0" applyBorder="1"/>
    <xf numFmtId="0" fontId="0" fillId="0" borderId="54" xfId="0" applyBorder="1"/>
    <xf numFmtId="0" fontId="0" fillId="0" borderId="53" xfId="0" applyBorder="1" applyAlignment="1">
      <alignment horizontal="centerContinuous" wrapText="1"/>
    </xf>
    <xf numFmtId="0" fontId="0" fillId="0" borderId="0" xfId="0" applyAlignment="1">
      <alignment horizontal="centerContinuous" wrapText="1"/>
    </xf>
    <xf numFmtId="0" fontId="0" fillId="0" borderId="54" xfId="0" applyBorder="1" applyAlignment="1">
      <alignment horizontal="centerContinuous" wrapText="1"/>
    </xf>
    <xf numFmtId="0" fontId="0" fillId="0" borderId="55" xfId="0" applyBorder="1" applyAlignment="1">
      <alignment horizontal="centerContinuous" vertical="center" wrapText="1"/>
    </xf>
    <xf numFmtId="0" fontId="0" fillId="0" borderId="11" xfId="0" applyBorder="1" applyAlignment="1">
      <alignment horizontal="centerContinuous" wrapText="1"/>
    </xf>
    <xf numFmtId="0" fontId="0" fillId="0" borderId="4" xfId="0" applyBorder="1" applyAlignment="1">
      <alignment horizontal="centerContinuous"/>
    </xf>
    <xf numFmtId="0" fontId="0" fillId="0" borderId="12" xfId="0" applyBorder="1" applyAlignment="1">
      <alignment horizontal="centerContinuous"/>
    </xf>
    <xf numFmtId="0" fontId="0" fillId="0" borderId="17" xfId="0" applyBorder="1" applyAlignment="1">
      <alignment horizontal="centerContinuous" vertical="center" wrapText="1"/>
    </xf>
    <xf numFmtId="0" fontId="0" fillId="0" borderId="18" xfId="0" applyBorder="1" applyAlignment="1">
      <alignment horizontal="centerContinuous" vertical="center" wrapText="1"/>
    </xf>
    <xf numFmtId="0" fontId="38" fillId="0" borderId="0" xfId="0" applyFont="1" applyAlignment="1">
      <alignment horizontal="center" vertical="center"/>
    </xf>
    <xf numFmtId="170" fontId="45" fillId="0" borderId="6" xfId="0" applyNumberFormat="1" applyFont="1" applyBorder="1" applyAlignment="1">
      <alignment horizontal="right" vertical="center"/>
    </xf>
    <xf numFmtId="171" fontId="45" fillId="0" borderId="6" xfId="0" applyNumberFormat="1" applyFont="1" applyBorder="1" applyAlignment="1">
      <alignment horizontal="right" vertical="center"/>
    </xf>
    <xf numFmtId="170" fontId="2" fillId="0" borderId="6" xfId="0" applyNumberFormat="1" applyFont="1" applyBorder="1" applyAlignment="1">
      <alignment horizontal="right" vertical="center"/>
    </xf>
    <xf numFmtId="171" fontId="2" fillId="0" borderId="6" xfId="0" applyNumberFormat="1" applyFont="1" applyBorder="1" applyAlignment="1">
      <alignment horizontal="right" vertical="center"/>
    </xf>
    <xf numFmtId="172" fontId="66" fillId="0" borderId="35" xfId="0" applyNumberFormat="1" applyFont="1" applyBorder="1" applyAlignment="1">
      <alignment vertical="center"/>
    </xf>
    <xf numFmtId="172" fontId="66" fillId="0" borderId="29" xfId="0" applyNumberFormat="1" applyFont="1" applyBorder="1" applyAlignment="1">
      <alignment vertical="center"/>
    </xf>
    <xf numFmtId="172" fontId="66" fillId="0" borderId="34" xfId="0" applyNumberFormat="1" applyFont="1" applyBorder="1" applyAlignment="1">
      <alignment vertical="center"/>
    </xf>
    <xf numFmtId="173" fontId="66" fillId="0" borderId="35" xfId="0" applyNumberFormat="1" applyFont="1" applyBorder="1" applyAlignment="1">
      <alignment vertical="center"/>
    </xf>
    <xf numFmtId="173" fontId="66" fillId="0" borderId="29" xfId="0" applyNumberFormat="1" applyFont="1" applyBorder="1" applyAlignment="1">
      <alignment vertical="center"/>
    </xf>
    <xf numFmtId="2" fontId="22" fillId="0" borderId="0" xfId="0" applyNumberFormat="1" applyFont="1" applyAlignment="1">
      <alignment vertical="center"/>
    </xf>
    <xf numFmtId="181" fontId="1" fillId="0" borderId="0" xfId="1" applyNumberFormat="1" applyFont="1" applyFill="1" applyBorder="1" applyAlignment="1">
      <alignment horizontal="right" vertical="center"/>
    </xf>
    <xf numFmtId="178" fontId="7" fillId="0" borderId="56" xfId="0" applyNumberFormat="1" applyFont="1" applyBorder="1" applyAlignment="1">
      <alignment vertical="center"/>
    </xf>
    <xf numFmtId="0" fontId="7" fillId="0" borderId="57" xfId="0" applyFont="1" applyBorder="1" applyAlignment="1">
      <alignment vertical="center"/>
    </xf>
    <xf numFmtId="172" fontId="10" fillId="0" borderId="57" xfId="0" applyNumberFormat="1" applyFont="1" applyBorder="1" applyAlignment="1">
      <alignment vertical="center"/>
    </xf>
    <xf numFmtId="0" fontId="7" fillId="0" borderId="58" xfId="0" applyFont="1" applyBorder="1" applyAlignment="1">
      <alignment vertical="center"/>
    </xf>
    <xf numFmtId="172" fontId="10" fillId="0" borderId="58" xfId="0" applyNumberFormat="1" applyFont="1" applyBorder="1" applyAlignment="1">
      <alignment vertical="center"/>
    </xf>
    <xf numFmtId="0" fontId="9" fillId="0" borderId="59" xfId="0" applyFont="1" applyBorder="1" applyAlignment="1">
      <alignment horizontal="center" vertical="center"/>
    </xf>
    <xf numFmtId="178" fontId="7" fillId="0" borderId="59" xfId="0" applyNumberFormat="1" applyFont="1" applyBorder="1" applyAlignment="1">
      <alignment horizontal="center" vertical="center"/>
    </xf>
    <xf numFmtId="0" fontId="7" fillId="0" borderId="60" xfId="0" applyFont="1" applyBorder="1" applyAlignment="1">
      <alignment horizontal="center" vertical="center"/>
    </xf>
    <xf numFmtId="0" fontId="40" fillId="0" borderId="2" xfId="0" applyFont="1" applyBorder="1" applyAlignment="1">
      <alignment vertical="center"/>
    </xf>
    <xf numFmtId="10" fontId="22" fillId="0" borderId="0" xfId="0" applyNumberFormat="1" applyFont="1" applyAlignment="1">
      <alignment horizontal="right" vertical="center"/>
    </xf>
    <xf numFmtId="175" fontId="7" fillId="0" borderId="0" xfId="0" applyNumberFormat="1" applyFont="1" applyAlignment="1">
      <alignment vertical="center"/>
    </xf>
    <xf numFmtId="178" fontId="66" fillId="0" borderId="35" xfId="0" applyNumberFormat="1" applyFont="1" applyBorder="1" applyAlignment="1">
      <alignment vertical="center"/>
    </xf>
    <xf numFmtId="178" fontId="66" fillId="0" borderId="29" xfId="0" applyNumberFormat="1" applyFont="1" applyBorder="1" applyAlignment="1">
      <alignment vertical="center"/>
    </xf>
    <xf numFmtId="9" fontId="0" fillId="0" borderId="0" xfId="0" applyNumberFormat="1"/>
    <xf numFmtId="1" fontId="0" fillId="0" borderId="0" xfId="0" applyNumberFormat="1"/>
    <xf numFmtId="182" fontId="66" fillId="0" borderId="29" xfId="0" applyNumberFormat="1" applyFont="1" applyBorder="1" applyAlignment="1">
      <alignment vertical="center"/>
    </xf>
    <xf numFmtId="183" fontId="7" fillId="0" borderId="36" xfId="0" applyNumberFormat="1" applyFont="1" applyBorder="1" applyAlignment="1">
      <alignment vertical="center"/>
    </xf>
    <xf numFmtId="175" fontId="66" fillId="0" borderId="35" xfId="0" applyNumberFormat="1" applyFont="1" applyBorder="1" applyAlignment="1">
      <alignment vertical="center"/>
    </xf>
    <xf numFmtId="175" fontId="66" fillId="0" borderId="29" xfId="0" applyNumberFormat="1" applyFont="1" applyBorder="1" applyAlignment="1">
      <alignment vertical="center"/>
    </xf>
    <xf numFmtId="178" fontId="66" fillId="0" borderId="63" xfId="0" applyNumberFormat="1" applyFont="1" applyBorder="1" applyAlignment="1">
      <alignment vertical="center"/>
    </xf>
    <xf numFmtId="178" fontId="66" fillId="0" borderId="62" xfId="0" applyNumberFormat="1" applyFont="1" applyBorder="1" applyAlignment="1">
      <alignment vertical="center"/>
    </xf>
    <xf numFmtId="178" fontId="66" fillId="0" borderId="64" xfId="0" applyNumberFormat="1" applyFont="1" applyBorder="1" applyAlignment="1">
      <alignment vertical="center"/>
    </xf>
    <xf numFmtId="173" fontId="57" fillId="0" borderId="61" xfId="0" applyNumberFormat="1" applyFont="1" applyBorder="1" applyAlignment="1">
      <alignment vertical="center"/>
    </xf>
    <xf numFmtId="0" fontId="50" fillId="7" borderId="0" xfId="0" applyFont="1" applyFill="1" applyAlignment="1">
      <alignment vertical="center"/>
    </xf>
    <xf numFmtId="0" fontId="59" fillId="7" borderId="0" xfId="0" applyFont="1" applyFill="1" applyAlignment="1">
      <alignment vertical="center"/>
    </xf>
    <xf numFmtId="0" fontId="30" fillId="0" borderId="0" xfId="0" applyFont="1" applyAlignment="1">
      <alignment vertical="center"/>
    </xf>
    <xf numFmtId="173" fontId="24" fillId="0" borderId="0" xfId="0" applyNumberFormat="1" applyFont="1" applyAlignment="1">
      <alignment vertical="center"/>
    </xf>
    <xf numFmtId="178" fontId="24" fillId="0" borderId="0" xfId="0" applyNumberFormat="1" applyFont="1" applyAlignment="1">
      <alignment vertical="center"/>
    </xf>
    <xf numFmtId="178" fontId="11" fillId="0" borderId="0" xfId="0" applyNumberFormat="1" applyFont="1" applyAlignment="1">
      <alignment vertical="center"/>
    </xf>
    <xf numFmtId="0" fontId="7" fillId="0" borderId="0" xfId="0" quotePrefix="1" applyFont="1" applyAlignment="1">
      <alignment horizontal="left" vertical="center" indent="1"/>
    </xf>
    <xf numFmtId="10" fontId="66" fillId="0" borderId="34" xfId="0" applyNumberFormat="1" applyFont="1" applyBorder="1" applyAlignment="1">
      <alignment vertical="center"/>
    </xf>
    <xf numFmtId="0" fontId="0" fillId="0" borderId="6" xfId="0" applyBorder="1" applyAlignment="1">
      <alignment horizontal="left" vertical="center"/>
    </xf>
    <xf numFmtId="0" fontId="0" fillId="0" borderId="65" xfId="0" applyBorder="1" applyAlignment="1">
      <alignment horizontal="left" vertical="center"/>
    </xf>
    <xf numFmtId="0" fontId="30" fillId="0" borderId="29" xfId="0" applyFont="1" applyBorder="1" applyAlignment="1">
      <alignment vertical="center"/>
    </xf>
    <xf numFmtId="0" fontId="9" fillId="0" borderId="61" xfId="0" applyFont="1" applyBorder="1" applyAlignment="1">
      <alignment vertical="center"/>
    </xf>
    <xf numFmtId="172" fontId="22" fillId="0" borderId="0" xfId="0" applyNumberFormat="1" applyFont="1" applyAlignment="1">
      <alignment horizontal="right" vertical="center"/>
    </xf>
    <xf numFmtId="178" fontId="22" fillId="0" borderId="60" xfId="0" applyNumberFormat="1" applyFont="1" applyBorder="1" applyAlignment="1">
      <alignment horizontal="right" vertical="center"/>
    </xf>
    <xf numFmtId="178" fontId="22" fillId="0" borderId="0" xfId="0" applyNumberFormat="1" applyFont="1" applyAlignment="1">
      <alignment horizontal="right" vertical="center"/>
    </xf>
    <xf numFmtId="166" fontId="7" fillId="0" borderId="0" xfId="1" applyNumberFormat="1" applyFont="1"/>
    <xf numFmtId="0" fontId="68" fillId="0" borderId="0" xfId="0" applyFont="1" applyAlignment="1">
      <alignment horizontal="left" vertical="center" wrapText="1"/>
    </xf>
    <xf numFmtId="3" fontId="68" fillId="0" borderId="0" xfId="0" applyNumberFormat="1" applyFont="1" applyAlignment="1">
      <alignment horizontal="right" vertical="center" wrapText="1"/>
    </xf>
    <xf numFmtId="0" fontId="67" fillId="0" borderId="0" xfId="0" applyFont="1" applyAlignment="1">
      <alignment horizontal="right" vertical="center" wrapText="1"/>
    </xf>
    <xf numFmtId="0" fontId="68" fillId="0" borderId="0" xfId="0" applyFont="1" applyAlignment="1">
      <alignment horizontal="right" vertical="center" wrapText="1"/>
    </xf>
    <xf numFmtId="0" fontId="69" fillId="0" borderId="66" xfId="0" applyFont="1" applyBorder="1" applyAlignment="1">
      <alignment horizontal="left" vertical="center" wrapText="1"/>
    </xf>
    <xf numFmtId="0" fontId="7" fillId="0" borderId="67" xfId="0" applyFont="1" applyBorder="1"/>
    <xf numFmtId="166" fontId="7" fillId="0" borderId="67" xfId="1" applyNumberFormat="1" applyFont="1" applyBorder="1"/>
    <xf numFmtId="166" fontId="69" fillId="0" borderId="66" xfId="1" applyNumberFormat="1" applyFont="1" applyBorder="1" applyAlignment="1">
      <alignment horizontal="left" vertical="center" wrapText="1"/>
    </xf>
    <xf numFmtId="43" fontId="7" fillId="0" borderId="0" xfId="1" applyFont="1"/>
    <xf numFmtId="43" fontId="69" fillId="0" borderId="66" xfId="1" applyFont="1" applyBorder="1" applyAlignment="1">
      <alignment horizontal="left" vertical="center" wrapText="1"/>
    </xf>
    <xf numFmtId="43" fontId="7" fillId="10" borderId="0" xfId="1" applyFont="1" applyFill="1"/>
    <xf numFmtId="43" fontId="7" fillId="0" borderId="67" xfId="1" applyFont="1" applyBorder="1"/>
    <xf numFmtId="10" fontId="7" fillId="0" borderId="67" xfId="1" applyNumberFormat="1" applyFont="1" applyBorder="1"/>
    <xf numFmtId="172" fontId="7" fillId="0" borderId="67" xfId="1" applyNumberFormat="1" applyFont="1" applyBorder="1"/>
    <xf numFmtId="0" fontId="7" fillId="0" borderId="68" xfId="0" applyFont="1" applyBorder="1"/>
    <xf numFmtId="0" fontId="7" fillId="0" borderId="69" xfId="0" applyFont="1" applyBorder="1"/>
    <xf numFmtId="0" fontId="0" fillId="0" borderId="69" xfId="0" applyBorder="1" applyAlignment="1">
      <alignment horizontal="centerContinuous"/>
    </xf>
  </cellXfs>
  <cellStyles count="4">
    <cellStyle name="Comma" xfId="1" builtinId="3"/>
    <cellStyle name="Comma 2" xfId="2" xr:uid="{ED05B6CE-E76B-4E5F-82D4-2F4B8A479B9B}"/>
    <cellStyle name="Heading 1" xfId="3" builtinId="16"/>
    <cellStyle name="Normal" xfId="0" builtinId="0"/>
  </cellStyles>
  <dxfs count="1">
    <dxf>
      <fill>
        <patternFill>
          <bgColor rgb="FFFFFF00"/>
        </patternFill>
      </fill>
    </dxf>
  </dxfs>
  <tableStyles count="0" defaultTableStyle="TableStyleMedium2" defaultPivotStyle="PivotStyleLight16"/>
  <colors>
    <mruColors>
      <color rgb="FF0070FF"/>
      <color rgb="FF1F497D"/>
      <color rgb="FF00B050"/>
      <color rgb="FF7896AF"/>
      <color rgb="FFDCE6EB"/>
      <color rgb="FFD9D9D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0305-E7FC-450F-B320-5FD6BA2B657F}">
  <dimension ref="B1:AF109"/>
  <sheetViews>
    <sheetView showGridLines="0" zoomScale="93" zoomScaleNormal="80" workbookViewId="0">
      <selection activeCell="C4" sqref="C4"/>
    </sheetView>
  </sheetViews>
  <sheetFormatPr defaultRowHeight="14.5"/>
  <cols>
    <col min="1" max="1" width="2.7265625" customWidth="1"/>
    <col min="2" max="14" width="12.6328125" customWidth="1"/>
    <col min="16" max="16" width="50.453125" customWidth="1"/>
  </cols>
  <sheetData>
    <row r="1" spans="2:19" ht="15" thickBot="1"/>
    <row r="2" spans="2:19" ht="24" thickTop="1">
      <c r="B2" s="292" t="s">
        <v>255</v>
      </c>
      <c r="C2" s="36"/>
      <c r="D2" s="36"/>
      <c r="E2" s="297">
        <f>MATCH(C4,C11:C13,0)</f>
        <v>2</v>
      </c>
      <c r="F2" s="36"/>
      <c r="G2" s="36"/>
    </row>
    <row r="3" spans="2:19">
      <c r="B3" s="30"/>
    </row>
    <row r="4" spans="2:19" ht="33.5">
      <c r="C4" s="295" t="s">
        <v>21</v>
      </c>
      <c r="D4" s="296" t="s">
        <v>320</v>
      </c>
    </row>
    <row r="5" spans="2:19" ht="15.5">
      <c r="B5" s="37" t="s">
        <v>319</v>
      </c>
      <c r="C5" s="1"/>
      <c r="D5" s="1"/>
    </row>
    <row r="6" spans="2:19" ht="15" thickBot="1"/>
    <row r="7" spans="2:19" ht="24" thickTop="1">
      <c r="B7" s="292" t="s">
        <v>318</v>
      </c>
      <c r="C7" s="36"/>
      <c r="D7" s="36"/>
      <c r="E7" s="36"/>
      <c r="F7" s="36"/>
      <c r="G7" s="36"/>
    </row>
    <row r="8" spans="2:19" ht="11.5" customHeight="1">
      <c r="B8" s="31"/>
      <c r="D8" s="31"/>
      <c r="E8" s="31"/>
      <c r="F8" s="31"/>
      <c r="G8" s="31"/>
    </row>
    <row r="9" spans="2:19" ht="28" customHeight="1">
      <c r="B9" s="32"/>
      <c r="C9" s="102" t="s">
        <v>575</v>
      </c>
      <c r="D9" s="102" t="s">
        <v>238</v>
      </c>
      <c r="E9" s="102" t="s">
        <v>1</v>
      </c>
      <c r="F9" s="102" t="s">
        <v>11</v>
      </c>
      <c r="G9" s="102" t="s">
        <v>83</v>
      </c>
    </row>
    <row r="10" spans="2:19" ht="15" customHeight="1" thickBot="1">
      <c r="B10" s="32"/>
      <c r="C10" s="103"/>
      <c r="D10" s="40" t="s">
        <v>580</v>
      </c>
      <c r="E10" s="104"/>
      <c r="F10" s="105"/>
      <c r="G10" s="105"/>
    </row>
    <row r="11" spans="2:19">
      <c r="B11">
        <v>1</v>
      </c>
      <c r="C11" s="10" t="s">
        <v>22</v>
      </c>
      <c r="D11" s="33">
        <v>0.03</v>
      </c>
      <c r="E11" s="34">
        <v>110</v>
      </c>
      <c r="F11" s="35">
        <v>8.5000000000000006E-2</v>
      </c>
      <c r="G11" s="35">
        <v>0.04</v>
      </c>
      <c r="I11" s="25"/>
    </row>
    <row r="12" spans="2:19">
      <c r="B12">
        <v>2</v>
      </c>
      <c r="C12" s="10" t="s">
        <v>21</v>
      </c>
      <c r="D12" s="33">
        <v>0.04</v>
      </c>
      <c r="E12" s="34">
        <v>125</v>
      </c>
      <c r="F12" s="35">
        <v>7.0000000000000007E-2</v>
      </c>
      <c r="G12" s="35">
        <v>4.4999999999999998E-2</v>
      </c>
    </row>
    <row r="13" spans="2:19">
      <c r="B13">
        <v>3</v>
      </c>
      <c r="C13" s="10" t="s">
        <v>239</v>
      </c>
      <c r="D13" s="33">
        <v>0.05</v>
      </c>
      <c r="E13" s="34">
        <v>140</v>
      </c>
      <c r="F13" s="35">
        <v>6.5000000000000002E-2</v>
      </c>
      <c r="G13" s="35">
        <v>0.05</v>
      </c>
    </row>
    <row r="14" spans="2:19" ht="12.5" customHeight="1" thickBot="1"/>
    <row r="15" spans="2:19" ht="24" thickTop="1">
      <c r="B15" s="292" t="s">
        <v>0</v>
      </c>
      <c r="C15" s="36"/>
      <c r="D15" s="36"/>
      <c r="E15" s="36"/>
      <c r="F15" s="36"/>
      <c r="G15" s="36"/>
      <c r="H15" s="36"/>
      <c r="I15" s="36"/>
      <c r="J15" s="36"/>
      <c r="K15" s="36"/>
      <c r="L15" s="36"/>
      <c r="M15" s="36"/>
      <c r="N15" s="36"/>
      <c r="O15" s="36"/>
      <c r="P15" s="36"/>
    </row>
    <row r="16" spans="2:19" ht="22" customHeight="1">
      <c r="B16" s="77" t="s">
        <v>2</v>
      </c>
      <c r="C16" s="99"/>
      <c r="D16" s="101"/>
      <c r="E16" s="99"/>
      <c r="F16" s="99"/>
      <c r="G16" s="100"/>
      <c r="H16" s="77" t="s">
        <v>576</v>
      </c>
      <c r="I16" s="39"/>
      <c r="J16" s="1"/>
      <c r="K16" s="42"/>
      <c r="L16" s="39"/>
      <c r="M16" s="39"/>
      <c r="N16" s="39"/>
      <c r="O16" s="38"/>
      <c r="P16" s="77" t="s">
        <v>579</v>
      </c>
      <c r="Q16" s="45" t="s">
        <v>536</v>
      </c>
      <c r="R16" s="41"/>
      <c r="S16" s="41"/>
    </row>
    <row r="17" spans="2:32" ht="19.5" customHeight="1" thickBot="1">
      <c r="B17" s="40" t="s">
        <v>578</v>
      </c>
      <c r="C17" s="40"/>
      <c r="D17" s="40"/>
      <c r="E17" s="40"/>
      <c r="F17" s="40"/>
      <c r="G17" s="40"/>
      <c r="H17" s="43">
        <v>2024</v>
      </c>
      <c r="I17" s="43">
        <v>2025</v>
      </c>
      <c r="J17" s="44">
        <v>2026</v>
      </c>
      <c r="K17" s="44">
        <v>2027</v>
      </c>
      <c r="L17" s="44">
        <v>2028</v>
      </c>
      <c r="M17" s="44">
        <v>2029</v>
      </c>
      <c r="N17" s="44">
        <v>2030</v>
      </c>
      <c r="O17" s="78"/>
      <c r="P17" s="46"/>
      <c r="Q17" s="41"/>
      <c r="R17" s="41"/>
      <c r="S17" s="41"/>
      <c r="Z17" s="2"/>
      <c r="AA17" s="2"/>
      <c r="AB17" s="2"/>
    </row>
    <row r="18" spans="2:32" ht="5.5" customHeight="1">
      <c r="B18" s="41"/>
      <c r="C18" s="41"/>
      <c r="D18" s="41"/>
      <c r="E18" s="41"/>
      <c r="F18" s="41"/>
      <c r="G18" s="41"/>
      <c r="H18" s="41"/>
      <c r="I18" s="41"/>
      <c r="J18" s="41"/>
      <c r="K18" s="41"/>
      <c r="L18" s="41"/>
      <c r="M18" s="41"/>
      <c r="N18" s="41"/>
      <c r="O18" s="41"/>
      <c r="P18" s="41"/>
      <c r="Q18" s="41"/>
      <c r="R18" s="41"/>
      <c r="S18" s="41"/>
      <c r="Z18" s="3"/>
      <c r="AA18" s="3"/>
      <c r="AB18" s="3"/>
    </row>
    <row r="19" spans="2:32" s="21" customFormat="1">
      <c r="B19" s="47" t="s">
        <v>515</v>
      </c>
      <c r="C19" s="47"/>
      <c r="D19" s="47"/>
      <c r="E19" s="47"/>
      <c r="F19" s="47"/>
      <c r="G19" s="47"/>
      <c r="H19" s="47"/>
      <c r="I19" s="47"/>
      <c r="J19" s="47"/>
      <c r="K19" s="47"/>
      <c r="L19" s="47"/>
      <c r="M19" s="47"/>
      <c r="N19" s="47"/>
      <c r="O19" s="47"/>
      <c r="P19" s="47"/>
      <c r="Q19" s="47"/>
      <c r="R19" s="47"/>
      <c r="S19" s="47"/>
      <c r="Z19" s="22"/>
      <c r="AA19" s="22"/>
      <c r="AB19" s="22"/>
    </row>
    <row r="20" spans="2:32">
      <c r="B20" s="57" t="s">
        <v>589</v>
      </c>
      <c r="C20" s="48"/>
      <c r="D20" s="48"/>
      <c r="E20" s="48"/>
      <c r="F20" s="48"/>
      <c r="G20" s="48"/>
      <c r="H20" s="49">
        <v>155</v>
      </c>
      <c r="I20" s="49">
        <v>113</v>
      </c>
      <c r="J20" s="50">
        <f>(INDEX(Assumptions!$B$11:$E$13,Assumptions!$E$2,4))-J22</f>
        <v>115</v>
      </c>
      <c r="K20" s="50">
        <f>INDEX(Assumptions!$B$11:$E$13,Assumptions!$E$2,4)</f>
        <v>125</v>
      </c>
      <c r="L20" s="50">
        <f>INDEX(Assumptions!$B$11:$E$13,Assumptions!$E$2,4)</f>
        <v>125</v>
      </c>
      <c r="M20" s="50">
        <f>INDEX(Assumptions!$B$11:$E$13,Assumptions!$E$2,4)</f>
        <v>125</v>
      </c>
      <c r="N20" s="50">
        <f>INDEX(Assumptions!$B$11:$E$13,Assumptions!$E$2,4)</f>
        <v>125</v>
      </c>
      <c r="O20" s="41"/>
      <c r="P20" s="51" t="s">
        <v>359</v>
      </c>
      <c r="Q20" s="41"/>
      <c r="R20" s="41"/>
      <c r="S20" s="41"/>
      <c r="Z20" s="3"/>
      <c r="AA20" s="3"/>
      <c r="AB20" s="5"/>
    </row>
    <row r="21" spans="2:32">
      <c r="B21" s="57" t="s">
        <v>593</v>
      </c>
      <c r="C21" s="48"/>
      <c r="D21" s="48"/>
      <c r="E21" s="48"/>
      <c r="F21" s="48"/>
      <c r="G21" s="48"/>
      <c r="H21" s="52">
        <v>-0.125</v>
      </c>
      <c r="I21" s="52">
        <v>9.7000000000000003E-2</v>
      </c>
      <c r="J21" s="53">
        <f>INDEX(Assumptions!$B$11:$E$13,Assumptions!$E$2,3)</f>
        <v>0.04</v>
      </c>
      <c r="K21" s="53">
        <f>INDEX(Assumptions!$B$11:$E$13,Assumptions!$E$2,3)</f>
        <v>0.04</v>
      </c>
      <c r="L21" s="53">
        <f>INDEX(Assumptions!$B$11:$E$13,Assumptions!$E$2,3)</f>
        <v>0.04</v>
      </c>
      <c r="M21" s="53">
        <f>INDEX(Assumptions!$B$11:$E$13,Assumptions!$E$2,3)</f>
        <v>0.04</v>
      </c>
      <c r="N21" s="53">
        <f>INDEX(Assumptions!$B$11:$E$13,Assumptions!$E$2,3)</f>
        <v>0.04</v>
      </c>
      <c r="O21" s="41"/>
      <c r="P21" s="51" t="s">
        <v>360</v>
      </c>
      <c r="Q21" s="41"/>
      <c r="R21" s="41"/>
      <c r="S21" s="41"/>
      <c r="Z21" s="3"/>
      <c r="AA21" s="5"/>
      <c r="AB21" s="5"/>
    </row>
    <row r="22" spans="2:32">
      <c r="B22" s="57" t="s">
        <v>590</v>
      </c>
      <c r="C22" s="48"/>
      <c r="D22" s="48"/>
      <c r="E22" s="48"/>
      <c r="F22" s="48"/>
      <c r="G22" s="48"/>
      <c r="H22" s="54">
        <v>0</v>
      </c>
      <c r="I22" s="54">
        <v>46</v>
      </c>
      <c r="J22" s="55">
        <v>10</v>
      </c>
      <c r="K22" s="55">
        <v>0</v>
      </c>
      <c r="L22" s="55">
        <v>0</v>
      </c>
      <c r="M22" s="55">
        <v>0</v>
      </c>
      <c r="N22" s="55">
        <v>0</v>
      </c>
      <c r="O22" s="41"/>
      <c r="P22" s="51" t="s">
        <v>361</v>
      </c>
      <c r="Q22" s="41"/>
      <c r="R22" s="41"/>
      <c r="S22" s="41"/>
      <c r="Z22" s="3"/>
      <c r="AA22" s="5"/>
      <c r="AB22" s="5"/>
    </row>
    <row r="23" spans="2:32">
      <c r="B23" s="57" t="s">
        <v>591</v>
      </c>
      <c r="C23" s="48"/>
      <c r="D23" s="48"/>
      <c r="E23" s="48"/>
      <c r="F23" s="48"/>
      <c r="G23" s="48"/>
      <c r="H23" s="54">
        <v>2590</v>
      </c>
      <c r="I23" s="54">
        <f t="shared" ref="I23:N23" si="0">H23+I20+I22</f>
        <v>2749</v>
      </c>
      <c r="J23" s="54">
        <f>I23+J20+J22</f>
        <v>2874</v>
      </c>
      <c r="K23" s="54">
        <f t="shared" si="0"/>
        <v>2999</v>
      </c>
      <c r="L23" s="54">
        <f t="shared" si="0"/>
        <v>3124</v>
      </c>
      <c r="M23" s="54">
        <f t="shared" si="0"/>
        <v>3249</v>
      </c>
      <c r="N23" s="54">
        <f t="shared" si="0"/>
        <v>3374</v>
      </c>
      <c r="O23" s="41"/>
      <c r="P23" s="41"/>
      <c r="Q23" s="41"/>
      <c r="R23" s="41"/>
      <c r="S23" s="41"/>
      <c r="Z23" s="3"/>
      <c r="AA23" s="5"/>
      <c r="AB23" s="5"/>
    </row>
    <row r="24" spans="2:32">
      <c r="B24" s="58" t="s">
        <v>588</v>
      </c>
      <c r="C24" s="62"/>
      <c r="D24" s="62"/>
      <c r="E24" s="62"/>
      <c r="F24" s="62"/>
      <c r="G24" s="62"/>
      <c r="H24" s="59">
        <f>'3- Statement Model'!$C$6/H23</f>
        <v>848.16640926640923</v>
      </c>
      <c r="I24" s="59">
        <f>'3- Statement Model'!$D$6/I23</f>
        <v>912.63041105856678</v>
      </c>
      <c r="J24" s="60">
        <f>(I24*(1+J21))</f>
        <v>949.13562750090944</v>
      </c>
      <c r="K24" s="60">
        <f>(J24*(1+K21))</f>
        <v>987.10105260094588</v>
      </c>
      <c r="L24" s="60">
        <f>(K24*(1+L21))</f>
        <v>1026.5850947049837</v>
      </c>
      <c r="M24" s="60">
        <f>(L24*(1+M21))</f>
        <v>1067.6484984931831</v>
      </c>
      <c r="N24" s="60">
        <f>(M24*(1+N21))</f>
        <v>1110.3544384329105</v>
      </c>
      <c r="O24" s="61"/>
      <c r="P24" s="61"/>
      <c r="Q24" s="41"/>
      <c r="R24" s="41"/>
      <c r="S24" s="41"/>
      <c r="Z24" s="3"/>
      <c r="AA24" s="5"/>
      <c r="AB24" s="5"/>
    </row>
    <row r="25" spans="2:32" ht="5.5" customHeight="1">
      <c r="B25" s="48"/>
      <c r="C25" s="48"/>
      <c r="D25" s="48"/>
      <c r="E25" s="48"/>
      <c r="F25" s="48"/>
      <c r="G25" s="48"/>
      <c r="H25" s="52"/>
      <c r="I25" s="64"/>
      <c r="J25" s="65"/>
      <c r="K25" s="65"/>
      <c r="L25" s="65"/>
      <c r="M25" s="65"/>
      <c r="N25" s="65"/>
      <c r="O25" s="41"/>
      <c r="P25" s="41"/>
      <c r="Q25" s="41"/>
      <c r="R25" s="41"/>
      <c r="S25" s="41"/>
      <c r="Z25" s="3"/>
      <c r="AA25" s="5"/>
      <c r="AB25" s="5"/>
    </row>
    <row r="26" spans="2:32">
      <c r="B26" s="63" t="s">
        <v>259</v>
      </c>
      <c r="C26" s="63"/>
      <c r="D26" s="63"/>
      <c r="E26" s="63"/>
      <c r="F26" s="63"/>
      <c r="G26" s="63"/>
      <c r="H26" s="52"/>
      <c r="I26" s="64"/>
      <c r="J26" s="65"/>
      <c r="K26" s="65"/>
      <c r="L26" s="65"/>
      <c r="M26" s="65"/>
      <c r="N26" s="65"/>
      <c r="O26" s="41"/>
      <c r="P26" s="41"/>
      <c r="Q26" s="41"/>
      <c r="R26" s="41"/>
      <c r="S26" s="41"/>
      <c r="Z26" s="3"/>
      <c r="AA26" s="5"/>
      <c r="AB26" s="5"/>
    </row>
    <row r="27" spans="2:32">
      <c r="B27" s="57" t="s">
        <v>23</v>
      </c>
      <c r="C27" s="48"/>
      <c r="D27" s="48"/>
      <c r="E27" s="48"/>
      <c r="F27" s="48"/>
      <c r="G27" s="48"/>
      <c r="H27" s="66">
        <f>-'3- Statement Model'!$C$7/'3- Statement Model'!$C$6</f>
        <v>0.42452467302848618</v>
      </c>
      <c r="I27" s="66">
        <f>-'3- Statement Model'!D7/'3- Statement Model'!D6</f>
        <v>0.41337704045047452</v>
      </c>
      <c r="J27" s="53">
        <v>0.41</v>
      </c>
      <c r="K27" s="53">
        <v>0.41</v>
      </c>
      <c r="L27" s="53">
        <v>0.41</v>
      </c>
      <c r="M27" s="53">
        <v>0.41</v>
      </c>
      <c r="N27" s="53">
        <v>0.41</v>
      </c>
      <c r="O27" s="41"/>
      <c r="P27" s="51" t="s">
        <v>362</v>
      </c>
      <c r="Q27" s="41"/>
      <c r="R27" s="41"/>
      <c r="S27" s="41"/>
      <c r="Z27" s="3"/>
      <c r="AA27" s="5"/>
      <c r="AB27" s="5"/>
    </row>
    <row r="28" spans="2:32">
      <c r="B28" s="57" t="s">
        <v>25</v>
      </c>
      <c r="C28" s="48"/>
      <c r="D28" s="48"/>
      <c r="E28" s="48"/>
      <c r="F28" s="48"/>
      <c r="G28" s="48"/>
      <c r="H28" s="66">
        <f>-'3- Statement Model'!$C$10/'3- Statement Model'!$C$6</f>
        <v>0.28619902756388865</v>
      </c>
      <c r="I28" s="66">
        <f>-'3- Statement Model'!$D$10/'3- Statement Model'!$D$6</f>
        <v>0.28491590272881168</v>
      </c>
      <c r="J28" s="53">
        <v>0.28499999999999998</v>
      </c>
      <c r="K28" s="53">
        <v>0.28499999999999998</v>
      </c>
      <c r="L28" s="53">
        <v>0.28499999999999998</v>
      </c>
      <c r="M28" s="53">
        <v>0.28499999999999998</v>
      </c>
      <c r="N28" s="53">
        <v>0.28499999999999998</v>
      </c>
      <c r="O28" s="41"/>
      <c r="P28" s="51" t="s">
        <v>363</v>
      </c>
      <c r="Q28" s="41"/>
      <c r="R28" s="41"/>
      <c r="S28" s="41"/>
      <c r="Z28" s="3"/>
      <c r="AA28" s="5"/>
      <c r="AB28" s="5"/>
    </row>
    <row r="29" spans="2:32">
      <c r="B29" s="57" t="s">
        <v>24</v>
      </c>
      <c r="C29" s="48"/>
      <c r="D29" s="48"/>
      <c r="E29" s="48"/>
      <c r="F29" s="48"/>
      <c r="G29" s="48"/>
      <c r="H29" s="66">
        <f>-'3- Statement Model'!$C$11/'3- Statement Model'!$C$6</f>
        <v>7.2547594151544714E-2</v>
      </c>
      <c r="I29" s="66">
        <f>-'3- Statement Model'!$D$11/'3- Statement Model'!$D$6</f>
        <v>6.9209401547579527E-2</v>
      </c>
      <c r="J29" s="53">
        <f>INDEX(Assumptions!$B$11:$F$13,Assumptions!$E$2,5)</f>
        <v>7.0000000000000007E-2</v>
      </c>
      <c r="K29" s="53">
        <f>INDEX(Assumptions!$B$11:$F$13,Assumptions!$E$2,5)</f>
        <v>7.0000000000000007E-2</v>
      </c>
      <c r="L29" s="53">
        <f>INDEX(Assumptions!$B$11:$F$13,Assumptions!$E$2,5)</f>
        <v>7.0000000000000007E-2</v>
      </c>
      <c r="M29" s="53">
        <f>INDEX(Assumptions!$B$11:$F$13,Assumptions!$E$2,5)</f>
        <v>7.0000000000000007E-2</v>
      </c>
      <c r="N29" s="53">
        <f>INDEX(Assumptions!$B$11:$F$13,Assumptions!$E$2,5)</f>
        <v>7.0000000000000007E-2</v>
      </c>
      <c r="O29" s="41"/>
      <c r="P29" s="51" t="s">
        <v>364</v>
      </c>
      <c r="Q29" s="41"/>
      <c r="R29" s="41"/>
      <c r="S29" s="41"/>
      <c r="Z29" s="3"/>
      <c r="AA29" s="5"/>
      <c r="AB29" s="5"/>
      <c r="AF29" s="15"/>
    </row>
    <row r="30" spans="2:32">
      <c r="B30" s="58" t="s">
        <v>592</v>
      </c>
      <c r="C30" s="62"/>
      <c r="D30" s="62"/>
      <c r="E30" s="62"/>
      <c r="F30" s="62"/>
      <c r="G30" s="62"/>
      <c r="H30" s="67">
        <f>1-(H27+H28+H29)</f>
        <v>0.21672870525608046</v>
      </c>
      <c r="I30" s="67">
        <f t="shared" ref="I30:N30" si="1">1-(I27+I28+I29)</f>
        <v>0.23249765527313437</v>
      </c>
      <c r="J30" s="67">
        <f>1-(J27+J28+J29)</f>
        <v>0.2350000000000001</v>
      </c>
      <c r="K30" s="67">
        <f t="shared" si="1"/>
        <v>0.2350000000000001</v>
      </c>
      <c r="L30" s="67">
        <f t="shared" si="1"/>
        <v>0.2350000000000001</v>
      </c>
      <c r="M30" s="67">
        <f t="shared" si="1"/>
        <v>0.2350000000000001</v>
      </c>
      <c r="N30" s="67">
        <f t="shared" si="1"/>
        <v>0.2350000000000001</v>
      </c>
      <c r="O30" s="61"/>
      <c r="P30" s="68" t="s">
        <v>365</v>
      </c>
      <c r="Q30" s="41"/>
      <c r="R30" s="41"/>
      <c r="S30" s="41"/>
      <c r="Z30" s="3"/>
      <c r="AA30" s="5"/>
      <c r="AB30" s="5"/>
      <c r="AF30" s="15"/>
    </row>
    <row r="31" spans="2:32" ht="5.5" customHeight="1">
      <c r="B31" s="41"/>
      <c r="C31" s="41"/>
      <c r="D31" s="41"/>
      <c r="E31" s="41"/>
      <c r="F31" s="41"/>
      <c r="G31" s="41"/>
      <c r="H31" s="41"/>
      <c r="I31" s="41"/>
      <c r="J31" s="41"/>
      <c r="K31" s="41"/>
      <c r="L31" s="41"/>
      <c r="M31" s="41"/>
      <c r="N31" s="41"/>
      <c r="O31" s="41"/>
      <c r="P31" s="41"/>
      <c r="Q31" s="41"/>
      <c r="R31" s="41"/>
      <c r="S31" s="41"/>
      <c r="Z31" s="3"/>
      <c r="AA31" s="5"/>
      <c r="AB31" s="5"/>
      <c r="AF31" s="15"/>
    </row>
    <row r="32" spans="2:32">
      <c r="B32" s="63" t="s">
        <v>260</v>
      </c>
      <c r="C32" s="63"/>
      <c r="D32" s="63"/>
      <c r="E32" s="63"/>
      <c r="F32" s="63"/>
      <c r="G32" s="63"/>
      <c r="H32" s="52"/>
      <c r="I32" s="64"/>
      <c r="J32" s="65"/>
      <c r="K32" s="65"/>
      <c r="L32" s="65"/>
      <c r="M32" s="65"/>
      <c r="N32" s="65"/>
      <c r="O32" s="41"/>
      <c r="P32" s="41"/>
      <c r="Q32" s="41"/>
      <c r="R32" s="41"/>
      <c r="S32" s="41"/>
      <c r="Z32" s="3"/>
      <c r="AA32" s="5"/>
      <c r="AB32" s="5"/>
    </row>
    <row r="33" spans="2:28">
      <c r="B33" s="48" t="s">
        <v>346</v>
      </c>
      <c r="C33" s="48"/>
      <c r="D33" s="48"/>
      <c r="E33" s="48"/>
      <c r="F33" s="48"/>
      <c r="G33" s="48"/>
      <c r="H33" s="54">
        <v>16116</v>
      </c>
      <c r="I33" s="54">
        <v>15508</v>
      </c>
      <c r="J33" s="55">
        <v>0</v>
      </c>
      <c r="K33" s="55">
        <v>0</v>
      </c>
      <c r="L33" s="55">
        <v>0</v>
      </c>
      <c r="M33" s="55">
        <v>0</v>
      </c>
      <c r="N33" s="55">
        <v>0</v>
      </c>
      <c r="O33" s="41"/>
      <c r="P33" s="51" t="s">
        <v>435</v>
      </c>
      <c r="Q33" s="41"/>
      <c r="R33" s="41"/>
      <c r="S33" s="41"/>
    </row>
    <row r="34" spans="2:28">
      <c r="B34" s="48" t="s">
        <v>594</v>
      </c>
      <c r="C34" s="48"/>
      <c r="D34" s="48"/>
      <c r="E34" s="48"/>
      <c r="F34" s="48"/>
      <c r="G34" s="48"/>
      <c r="H34" s="52">
        <v>5.6000000000000001E-2</v>
      </c>
      <c r="I34" s="52">
        <v>4.3499999999999997E-2</v>
      </c>
      <c r="J34" s="53">
        <v>0.04</v>
      </c>
      <c r="K34" s="53">
        <v>0.04</v>
      </c>
      <c r="L34" s="53">
        <v>0.04</v>
      </c>
      <c r="M34" s="53">
        <v>0.04</v>
      </c>
      <c r="N34" s="53">
        <v>0.04</v>
      </c>
      <c r="O34" s="41"/>
      <c r="P34" s="51" t="s">
        <v>436</v>
      </c>
      <c r="Q34" s="45" t="s">
        <v>541</v>
      </c>
      <c r="R34" s="41"/>
      <c r="S34" s="41"/>
    </row>
    <row r="35" spans="2:28">
      <c r="B35" s="48" t="s">
        <v>595</v>
      </c>
      <c r="C35" s="48"/>
      <c r="D35" s="48"/>
      <c r="E35" s="48"/>
      <c r="F35" s="48"/>
      <c r="G35" s="48"/>
      <c r="H35" s="66">
        <f>-'3- Statement Model'!C$27/(('3- Statement Model'!C180+'3- Statement Model'!$C$185)/2)</f>
        <v>5.9518624546851646E-2</v>
      </c>
      <c r="I35" s="66">
        <f>-('3- Statement Model'!D$27)/(('3- Statement Model'!D180+'3- Statement Model'!$D$185)/2)</f>
        <v>6.7199047601038231E-2</v>
      </c>
      <c r="J35" s="53">
        <v>6.3E-2</v>
      </c>
      <c r="K35" s="53">
        <v>6.3E-2</v>
      </c>
      <c r="L35" s="53">
        <v>6.3E-2</v>
      </c>
      <c r="M35" s="53">
        <v>6.3E-2</v>
      </c>
      <c r="N35" s="53">
        <v>6.3E-2</v>
      </c>
      <c r="O35" s="41"/>
      <c r="P35" s="51" t="s">
        <v>437</v>
      </c>
      <c r="Q35" s="41"/>
      <c r="R35" s="41"/>
      <c r="S35" s="41"/>
      <c r="Z35" s="5"/>
      <c r="AA35" s="5"/>
      <c r="AB35" s="5"/>
    </row>
    <row r="36" spans="2:28">
      <c r="B36" s="48" t="s">
        <v>262</v>
      </c>
      <c r="C36" s="48"/>
      <c r="D36" s="48"/>
      <c r="E36" s="48"/>
      <c r="F36" s="48"/>
      <c r="G36" s="48"/>
      <c r="H36" s="54">
        <v>148</v>
      </c>
      <c r="I36" s="54">
        <v>42</v>
      </c>
      <c r="J36" s="55">
        <v>42</v>
      </c>
      <c r="K36" s="55">
        <v>42</v>
      </c>
      <c r="L36" s="55">
        <v>42</v>
      </c>
      <c r="M36" s="55">
        <v>42</v>
      </c>
      <c r="N36" s="55">
        <v>42</v>
      </c>
      <c r="O36" s="41"/>
      <c r="P36" s="51" t="s">
        <v>438</v>
      </c>
      <c r="Q36" s="41"/>
      <c r="R36" s="41"/>
      <c r="S36" s="41"/>
      <c r="Z36" s="5"/>
      <c r="AA36" s="5"/>
      <c r="AB36" s="5"/>
    </row>
    <row r="37" spans="2:28" ht="7.5" customHeight="1">
      <c r="B37" s="41"/>
      <c r="C37" s="41"/>
      <c r="D37" s="41"/>
      <c r="E37" s="41"/>
      <c r="F37" s="41"/>
      <c r="G37" s="41"/>
      <c r="H37" s="41"/>
      <c r="I37" s="41"/>
      <c r="J37" s="69"/>
      <c r="K37" s="69"/>
      <c r="L37" s="69"/>
      <c r="M37" s="69"/>
      <c r="N37" s="69"/>
      <c r="O37" s="41"/>
      <c r="P37" s="70" t="s">
        <v>472</v>
      </c>
      <c r="Q37" s="41"/>
      <c r="R37" s="41"/>
      <c r="S37" s="41"/>
      <c r="Z37" s="3"/>
      <c r="AA37" s="3"/>
      <c r="AB37" s="5"/>
    </row>
    <row r="38" spans="2:28">
      <c r="B38" s="48" t="s">
        <v>596</v>
      </c>
      <c r="C38" s="48"/>
      <c r="D38" s="48"/>
      <c r="E38" s="48"/>
      <c r="F38" s="48"/>
      <c r="G38" s="48"/>
      <c r="H38" s="66">
        <f>-'3- Statement Model'!C30/'3- Statement Model'!C28</f>
        <v>0.12041410321208847</v>
      </c>
      <c r="I38" s="66">
        <f>-'3- Statement Model'!D30/'3- Statement Model'!D28</f>
        <v>0.14030247814845279</v>
      </c>
      <c r="J38" s="53">
        <v>0.16</v>
      </c>
      <c r="K38" s="53">
        <v>0.16</v>
      </c>
      <c r="L38" s="53">
        <v>0.16</v>
      </c>
      <c r="M38" s="53">
        <v>0.16</v>
      </c>
      <c r="N38" s="53">
        <v>0.16</v>
      </c>
      <c r="O38" s="41"/>
      <c r="P38" s="51" t="s">
        <v>434</v>
      </c>
      <c r="Q38" s="41"/>
      <c r="R38" s="41"/>
      <c r="S38" s="41"/>
      <c r="Z38" s="5"/>
      <c r="AA38" s="5"/>
      <c r="AB38" s="5"/>
    </row>
    <row r="39" spans="2:28">
      <c r="B39" s="61"/>
      <c r="C39" s="61"/>
      <c r="D39" s="61"/>
      <c r="E39" s="61"/>
      <c r="F39" s="61"/>
      <c r="G39" s="61"/>
      <c r="H39" s="74"/>
      <c r="I39" s="74"/>
      <c r="J39" s="75"/>
      <c r="K39" s="75"/>
      <c r="L39" s="75"/>
      <c r="M39" s="75"/>
      <c r="N39" s="75"/>
      <c r="O39" s="61"/>
      <c r="P39" s="76" t="s">
        <v>471</v>
      </c>
      <c r="Q39" s="41"/>
      <c r="R39" s="41"/>
      <c r="S39" s="41"/>
      <c r="Z39" s="5"/>
      <c r="AA39" s="3"/>
      <c r="AB39" s="3"/>
    </row>
    <row r="40" spans="2:28" ht="5" customHeight="1">
      <c r="B40" s="41"/>
      <c r="C40" s="41"/>
      <c r="D40" s="41"/>
      <c r="E40" s="41"/>
      <c r="F40" s="41"/>
      <c r="G40" s="41"/>
      <c r="H40" s="71"/>
      <c r="I40" s="71"/>
      <c r="J40" s="72"/>
      <c r="K40" s="72"/>
      <c r="L40" s="72"/>
      <c r="M40" s="72"/>
      <c r="N40" s="72"/>
      <c r="O40" s="41"/>
      <c r="P40" s="70"/>
      <c r="Q40" s="41"/>
      <c r="R40" s="41"/>
      <c r="S40" s="41"/>
      <c r="Z40" s="5"/>
      <c r="AA40" s="3"/>
      <c r="AB40" s="3"/>
    </row>
    <row r="41" spans="2:28">
      <c r="B41" s="47" t="s">
        <v>517</v>
      </c>
      <c r="C41" s="47"/>
      <c r="D41" s="47"/>
      <c r="E41" s="47"/>
      <c r="F41" s="47"/>
      <c r="G41" s="47"/>
      <c r="H41" s="41"/>
      <c r="I41" s="41"/>
      <c r="J41" s="69"/>
      <c r="K41" s="69"/>
      <c r="L41" s="69"/>
      <c r="M41" s="69"/>
      <c r="N41" s="69"/>
      <c r="O41" s="41"/>
      <c r="P41" s="41"/>
      <c r="Q41" s="41"/>
      <c r="R41" s="41"/>
      <c r="S41" s="41"/>
    </row>
    <row r="42" spans="2:28">
      <c r="B42" s="70" t="s">
        <v>123</v>
      </c>
      <c r="C42" s="70"/>
      <c r="D42" s="70"/>
      <c r="E42" s="70"/>
      <c r="F42" s="70"/>
      <c r="G42" s="70"/>
      <c r="H42" s="73"/>
      <c r="I42" s="73"/>
      <c r="J42" s="55"/>
      <c r="K42" s="55"/>
      <c r="L42" s="55"/>
      <c r="M42" s="55"/>
      <c r="N42" s="55"/>
      <c r="O42" s="41"/>
      <c r="P42" s="41"/>
      <c r="Q42" s="41"/>
      <c r="R42" s="41"/>
      <c r="S42" s="41"/>
    </row>
    <row r="43" spans="2:28">
      <c r="B43" s="57" t="s">
        <v>73</v>
      </c>
      <c r="C43" s="48"/>
      <c r="D43" s="48"/>
      <c r="E43" s="48"/>
      <c r="F43" s="48"/>
      <c r="G43" s="48"/>
      <c r="H43" s="79">
        <f>-'3- Statement Model'!C51/'3- Statement Model'!C7*365</f>
        <v>52.602348336594915</v>
      </c>
      <c r="I43" s="79">
        <f>-'3- Statement Model'!D51/'3- Statement Model'!D7*365</f>
        <v>54.579886586397116</v>
      </c>
      <c r="J43" s="80">
        <v>54</v>
      </c>
      <c r="K43" s="80">
        <v>54</v>
      </c>
      <c r="L43" s="80">
        <v>54</v>
      </c>
      <c r="M43" s="80">
        <v>54</v>
      </c>
      <c r="N43" s="80">
        <v>54</v>
      </c>
      <c r="O43" s="41"/>
      <c r="P43" s="51" t="s">
        <v>379</v>
      </c>
      <c r="Q43" s="41"/>
      <c r="R43" s="41"/>
      <c r="S43" s="41"/>
    </row>
    <row r="44" spans="2:28" ht="8" customHeight="1">
      <c r="B44" s="48"/>
      <c r="C44" s="48"/>
      <c r="D44" s="48"/>
      <c r="E44" s="48"/>
      <c r="F44" s="48"/>
      <c r="G44" s="48"/>
      <c r="H44" s="79"/>
      <c r="I44" s="79"/>
      <c r="J44" s="80"/>
      <c r="K44" s="80"/>
      <c r="L44" s="80"/>
      <c r="M44" s="80"/>
      <c r="N44" s="80"/>
      <c r="O44" s="41"/>
      <c r="P44" s="51"/>
      <c r="Q44" s="41"/>
      <c r="R44" s="41"/>
      <c r="S44" s="41"/>
    </row>
    <row r="45" spans="2:28">
      <c r="B45" s="70" t="s">
        <v>269</v>
      </c>
      <c r="C45" s="70"/>
      <c r="D45" s="70"/>
      <c r="E45" s="70"/>
      <c r="F45" s="70"/>
      <c r="G45" s="70"/>
      <c r="H45" s="73"/>
      <c r="I45" s="73"/>
      <c r="J45" s="55"/>
      <c r="K45" s="55"/>
      <c r="L45" s="55"/>
      <c r="M45" s="55"/>
      <c r="N45" s="55"/>
      <c r="O45" s="41"/>
      <c r="P45" s="41"/>
      <c r="Q45" s="41"/>
      <c r="R45" s="41"/>
      <c r="S45" s="41"/>
    </row>
    <row r="46" spans="2:28">
      <c r="B46" s="57" t="s">
        <v>72</v>
      </c>
      <c r="C46" s="48"/>
      <c r="D46" s="48"/>
      <c r="E46" s="48"/>
      <c r="F46" s="48"/>
      <c r="G46" s="48"/>
      <c r="H46" s="79">
        <f>'3- Statement Model'!C212/'3- Statement Model'!C6*365</f>
        <v>5.7459539110258735</v>
      </c>
      <c r="I46" s="79">
        <f>'3- Statement Model'!D212/'3- Statement Model'!D6*365</f>
        <v>7.5152591595813325</v>
      </c>
      <c r="J46" s="80">
        <v>7.5</v>
      </c>
      <c r="K46" s="80">
        <v>7.5</v>
      </c>
      <c r="L46" s="80">
        <v>7.5</v>
      </c>
      <c r="M46" s="80">
        <v>7.5</v>
      </c>
      <c r="N46" s="80">
        <v>7.5</v>
      </c>
      <c r="O46" s="41"/>
      <c r="P46" s="51" t="s">
        <v>375</v>
      </c>
      <c r="Q46" s="41"/>
      <c r="R46" s="41"/>
      <c r="S46" s="41"/>
    </row>
    <row r="47" spans="2:28">
      <c r="B47" s="57" t="s">
        <v>597</v>
      </c>
      <c r="C47" s="48"/>
      <c r="D47" s="48"/>
      <c r="E47" s="48"/>
      <c r="F47" s="48"/>
      <c r="G47" s="48"/>
      <c r="H47" s="52">
        <v>1.6500000000000001E-2</v>
      </c>
      <c r="I47" s="52">
        <v>1.5100000000000001E-2</v>
      </c>
      <c r="J47" s="53">
        <v>1.4999999999999999E-2</v>
      </c>
      <c r="K47" s="53">
        <v>1.4999999999999999E-2</v>
      </c>
      <c r="L47" s="53">
        <v>1.4999999999999999E-2</v>
      </c>
      <c r="M47" s="53">
        <v>1.4999999999999999E-2</v>
      </c>
      <c r="N47" s="53">
        <v>1.4999999999999999E-2</v>
      </c>
      <c r="O47" s="41"/>
      <c r="P47" s="51" t="s">
        <v>376</v>
      </c>
      <c r="Q47" s="41"/>
      <c r="R47" s="41"/>
      <c r="S47" s="41"/>
    </row>
    <row r="48" spans="2:28">
      <c r="B48" s="57" t="s">
        <v>65</v>
      </c>
      <c r="C48" s="48"/>
      <c r="D48" s="48"/>
      <c r="E48" s="48"/>
      <c r="F48" s="48"/>
      <c r="G48" s="48"/>
      <c r="H48" s="54">
        <v>2320</v>
      </c>
      <c r="I48" s="54">
        <v>1612</v>
      </c>
      <c r="J48" s="55">
        <v>1612</v>
      </c>
      <c r="K48" s="55">
        <v>1612</v>
      </c>
      <c r="L48" s="55">
        <v>1612</v>
      </c>
      <c r="M48" s="55">
        <v>1612</v>
      </c>
      <c r="N48" s="55">
        <v>1612</v>
      </c>
      <c r="O48" s="41"/>
      <c r="P48" s="51" t="s">
        <v>443</v>
      </c>
      <c r="Q48" s="41"/>
      <c r="R48" s="41"/>
      <c r="S48" s="41"/>
    </row>
    <row r="49" spans="2:19">
      <c r="B49" s="57" t="s">
        <v>66</v>
      </c>
      <c r="C49" s="48"/>
      <c r="D49" s="48"/>
      <c r="E49" s="48"/>
      <c r="F49" s="48"/>
      <c r="G49" s="48"/>
      <c r="H49" s="54">
        <v>15373</v>
      </c>
      <c r="I49" s="54">
        <v>16100</v>
      </c>
      <c r="J49" s="55">
        <v>16100</v>
      </c>
      <c r="K49" s="55">
        <v>16100</v>
      </c>
      <c r="L49" s="55">
        <v>16100</v>
      </c>
      <c r="M49" s="55">
        <v>16100</v>
      </c>
      <c r="N49" s="55">
        <v>16100</v>
      </c>
      <c r="O49" s="41"/>
      <c r="P49" s="51" t="s">
        <v>377</v>
      </c>
      <c r="Q49" s="41"/>
      <c r="R49" s="41"/>
      <c r="S49" s="41"/>
    </row>
    <row r="50" spans="2:19">
      <c r="B50" s="57" t="s">
        <v>74</v>
      </c>
      <c r="C50" s="48"/>
      <c r="D50" s="48"/>
      <c r="E50" s="48"/>
      <c r="F50" s="48"/>
      <c r="G50" s="48"/>
      <c r="H50" s="66">
        <f>'3- Statement Model'!C216/'3- Statement Model'!C6</f>
        <v>6.3266159887943605E-3</v>
      </c>
      <c r="I50" s="66">
        <f>'3- Statement Model'!D216/'3- Statement Model'!D6</f>
        <v>6.1367471015269723E-3</v>
      </c>
      <c r="J50" s="53">
        <v>6.0000000000000001E-3</v>
      </c>
      <c r="K50" s="53">
        <v>6.0000000000000001E-3</v>
      </c>
      <c r="L50" s="53">
        <v>6.0000000000000001E-3</v>
      </c>
      <c r="M50" s="53">
        <v>6.0000000000000001E-3</v>
      </c>
      <c r="N50" s="53">
        <v>6.0000000000000001E-3</v>
      </c>
      <c r="O50" s="41"/>
      <c r="P50" s="51" t="s">
        <v>378</v>
      </c>
      <c r="Q50" s="41"/>
      <c r="R50" s="41"/>
      <c r="S50" s="41"/>
    </row>
    <row r="51" spans="2:19">
      <c r="B51" s="57" t="s">
        <v>68</v>
      </c>
      <c r="C51" s="48"/>
      <c r="D51" s="48"/>
      <c r="E51" s="48"/>
      <c r="F51" s="48"/>
      <c r="G51" s="48"/>
      <c r="H51" s="54">
        <v>433</v>
      </c>
      <c r="I51" s="54">
        <v>410</v>
      </c>
      <c r="J51" s="55">
        <v>410</v>
      </c>
      <c r="K51" s="55">
        <v>410</v>
      </c>
      <c r="L51" s="55">
        <v>410</v>
      </c>
      <c r="M51" s="55">
        <v>410</v>
      </c>
      <c r="N51" s="55">
        <v>410</v>
      </c>
      <c r="O51" s="41"/>
      <c r="P51" s="51" t="s">
        <v>444</v>
      </c>
      <c r="Q51" s="41"/>
      <c r="R51" s="41"/>
      <c r="S51" s="41"/>
    </row>
    <row r="52" spans="2:19">
      <c r="B52" s="57" t="s">
        <v>69</v>
      </c>
      <c r="C52" s="48"/>
      <c r="D52" s="48"/>
      <c r="E52" s="48"/>
      <c r="F52" s="48"/>
      <c r="G52" s="48"/>
      <c r="H52" s="54">
        <v>2330</v>
      </c>
      <c r="I52" s="54">
        <v>2553</v>
      </c>
      <c r="J52" s="55">
        <v>2553</v>
      </c>
      <c r="K52" s="55">
        <v>2553</v>
      </c>
      <c r="L52" s="55">
        <v>2553</v>
      </c>
      <c r="M52" s="55">
        <v>2553</v>
      </c>
      <c r="N52" s="55">
        <v>2553</v>
      </c>
      <c r="O52" s="41"/>
      <c r="P52" s="51" t="s">
        <v>445</v>
      </c>
      <c r="Q52" s="41"/>
      <c r="R52" s="41"/>
      <c r="S52" s="41"/>
    </row>
    <row r="53" spans="2:19">
      <c r="B53" s="57" t="s">
        <v>70</v>
      </c>
      <c r="C53" s="48"/>
      <c r="D53" s="48"/>
      <c r="E53" s="48"/>
      <c r="F53" s="48"/>
      <c r="G53" s="48"/>
      <c r="H53" s="54">
        <v>5371</v>
      </c>
      <c r="I53" s="54">
        <v>4558</v>
      </c>
      <c r="J53" s="55">
        <v>4558</v>
      </c>
      <c r="K53" s="55">
        <v>4558</v>
      </c>
      <c r="L53" s="55">
        <v>4558</v>
      </c>
      <c r="M53" s="55">
        <v>4558</v>
      </c>
      <c r="N53" s="55">
        <v>4558</v>
      </c>
      <c r="O53" s="41"/>
      <c r="P53" s="51" t="s">
        <v>446</v>
      </c>
      <c r="Q53" s="41"/>
      <c r="R53" s="41"/>
      <c r="S53" s="41"/>
    </row>
    <row r="54" spans="2:19">
      <c r="B54" s="57" t="s">
        <v>71</v>
      </c>
      <c r="C54" s="48"/>
      <c r="D54" s="48"/>
      <c r="E54" s="48"/>
      <c r="F54" s="48"/>
      <c r="G54" s="48"/>
      <c r="H54" s="54">
        <v>7200</v>
      </c>
      <c r="I54" s="54">
        <v>8494</v>
      </c>
      <c r="J54" s="55">
        <v>8494</v>
      </c>
      <c r="K54" s="55">
        <v>8494</v>
      </c>
      <c r="L54" s="55">
        <v>8494</v>
      </c>
      <c r="M54" s="55">
        <v>8494</v>
      </c>
      <c r="N54" s="55">
        <v>8494</v>
      </c>
      <c r="O54" s="41"/>
      <c r="P54" s="51" t="s">
        <v>447</v>
      </c>
      <c r="Q54" s="41"/>
      <c r="R54" s="41"/>
      <c r="S54" s="41"/>
    </row>
    <row r="55" spans="2:19">
      <c r="B55" s="57" t="s">
        <v>76</v>
      </c>
      <c r="C55" s="48"/>
      <c r="D55" s="48"/>
      <c r="E55" s="48"/>
      <c r="F55" s="48"/>
      <c r="G55" s="48"/>
      <c r="H55" s="54">
        <v>7498</v>
      </c>
      <c r="I55" s="54">
        <v>10784</v>
      </c>
      <c r="J55" s="55">
        <v>7500</v>
      </c>
      <c r="K55" s="55">
        <v>7500</v>
      </c>
      <c r="L55" s="55">
        <v>7500</v>
      </c>
      <c r="M55" s="55">
        <v>7500</v>
      </c>
      <c r="N55" s="55">
        <v>7500</v>
      </c>
      <c r="O55" s="41"/>
      <c r="P55" s="51" t="s">
        <v>448</v>
      </c>
      <c r="Q55" s="41"/>
      <c r="R55" s="41"/>
      <c r="S55" s="41"/>
    </row>
    <row r="56" spans="2:19" ht="9" customHeight="1">
      <c r="B56" s="70"/>
      <c r="C56" s="70"/>
      <c r="D56" s="70"/>
      <c r="E56" s="70"/>
      <c r="F56" s="70"/>
      <c r="G56" s="70"/>
      <c r="H56" s="73"/>
      <c r="I56" s="73"/>
      <c r="J56" s="55"/>
      <c r="K56" s="55"/>
      <c r="L56" s="55"/>
      <c r="M56" s="55"/>
      <c r="N56" s="55"/>
      <c r="O56" s="41"/>
      <c r="P56" s="41"/>
      <c r="Q56" s="41"/>
      <c r="R56" s="41"/>
      <c r="S56" s="41"/>
    </row>
    <row r="57" spans="2:19">
      <c r="B57" s="81" t="s">
        <v>276</v>
      </c>
      <c r="C57" s="81"/>
      <c r="D57" s="81"/>
      <c r="E57" s="81"/>
      <c r="F57" s="81"/>
      <c r="G57" s="81"/>
      <c r="H57" s="71"/>
      <c r="I57" s="71"/>
      <c r="J57" s="82"/>
      <c r="K57" s="82"/>
      <c r="L57" s="82"/>
      <c r="M57" s="82"/>
      <c r="N57" s="82"/>
      <c r="O57" s="41"/>
      <c r="P57" s="41"/>
      <c r="Q57" s="41"/>
      <c r="R57" s="41"/>
      <c r="S57" s="41"/>
    </row>
    <row r="58" spans="2:19">
      <c r="B58" s="57" t="s">
        <v>577</v>
      </c>
      <c r="C58" s="48"/>
      <c r="D58" s="48"/>
      <c r="E58" s="48"/>
      <c r="F58" s="48"/>
      <c r="G58" s="48"/>
      <c r="H58" s="66">
        <f>('3- Statement Model'!C72+'3- Statement Model'!C65)/'3- Statement Model'!C6</f>
        <v>0.18745775010458626</v>
      </c>
      <c r="I58" s="66">
        <f>('3- Statement Model'!D72+'3- Statement Model'!D65)/'3- Statement Model'!D6</f>
        <v>0.18547676378665517</v>
      </c>
      <c r="J58" s="53">
        <v>0.1865</v>
      </c>
      <c r="K58" s="53">
        <v>0.1865</v>
      </c>
      <c r="L58" s="53">
        <v>0.1865</v>
      </c>
      <c r="M58" s="53">
        <v>0.1865</v>
      </c>
      <c r="N58" s="53">
        <v>0.1865</v>
      </c>
      <c r="O58" s="41"/>
      <c r="P58" s="51" t="s">
        <v>381</v>
      </c>
      <c r="Q58" s="41"/>
      <c r="R58" s="41"/>
      <c r="S58" s="41"/>
    </row>
    <row r="59" spans="2:19">
      <c r="B59" s="58" t="s">
        <v>279</v>
      </c>
      <c r="C59" s="62"/>
      <c r="D59" s="62"/>
      <c r="E59" s="62"/>
      <c r="F59" s="62"/>
      <c r="G59" s="62"/>
      <c r="H59" s="60">
        <v>19760</v>
      </c>
      <c r="I59" s="60">
        <v>2729</v>
      </c>
      <c r="J59" s="88">
        <v>2729</v>
      </c>
      <c r="K59" s="88">
        <v>2729</v>
      </c>
      <c r="L59" s="88">
        <v>2729</v>
      </c>
      <c r="M59" s="88">
        <v>2729</v>
      </c>
      <c r="N59" s="88">
        <v>2729</v>
      </c>
      <c r="O59" s="61"/>
      <c r="P59" s="68" t="s">
        <v>452</v>
      </c>
      <c r="Q59" s="41"/>
      <c r="R59" s="41"/>
      <c r="S59" s="41"/>
    </row>
    <row r="60" spans="2:19" ht="5" customHeight="1">
      <c r="B60" s="48"/>
      <c r="C60" s="48"/>
      <c r="D60" s="48"/>
      <c r="E60" s="48"/>
      <c r="F60" s="48"/>
      <c r="G60" s="48"/>
      <c r="H60" s="54"/>
      <c r="I60" s="54"/>
      <c r="J60" s="55"/>
      <c r="K60" s="55"/>
      <c r="L60" s="55"/>
      <c r="M60" s="55"/>
      <c r="N60" s="55"/>
      <c r="O60" s="41"/>
      <c r="P60" s="51"/>
      <c r="Q60" s="41"/>
      <c r="R60" s="41"/>
      <c r="S60" s="41"/>
    </row>
    <row r="61" spans="2:19">
      <c r="B61" s="47" t="s">
        <v>516</v>
      </c>
      <c r="C61" s="47"/>
      <c r="D61" s="47"/>
      <c r="E61" s="47"/>
      <c r="F61" s="47"/>
      <c r="G61" s="47"/>
      <c r="H61" s="41"/>
      <c r="I61" s="41"/>
      <c r="J61" s="69"/>
      <c r="K61" s="69"/>
      <c r="L61" s="69"/>
      <c r="M61" s="69"/>
      <c r="N61" s="69"/>
      <c r="O61" s="41"/>
      <c r="P61" s="41"/>
      <c r="Q61" s="41"/>
      <c r="R61" s="41"/>
      <c r="S61" s="41"/>
    </row>
    <row r="62" spans="2:19">
      <c r="B62" s="81" t="s">
        <v>31</v>
      </c>
      <c r="C62" s="81"/>
      <c r="D62" s="81"/>
      <c r="E62" s="81"/>
      <c r="F62" s="81"/>
      <c r="G62" s="81"/>
      <c r="H62" s="41"/>
      <c r="I62" s="41"/>
      <c r="J62" s="69"/>
      <c r="K62" s="69"/>
      <c r="L62" s="69"/>
      <c r="M62" s="69"/>
      <c r="N62" s="69"/>
      <c r="O62" s="41"/>
      <c r="P62" s="41"/>
      <c r="Q62" s="41"/>
      <c r="R62" s="41"/>
      <c r="S62" s="41"/>
    </row>
    <row r="63" spans="2:19">
      <c r="B63" s="57" t="s">
        <v>92</v>
      </c>
      <c r="C63" s="48"/>
      <c r="D63" s="48"/>
      <c r="E63" s="48"/>
      <c r="F63" s="48"/>
      <c r="G63" s="48"/>
      <c r="H63" s="66">
        <f>'3- Statement Model'!C159/'3- Statement Model'!C6</f>
        <v>4.8528941149907294E-2</v>
      </c>
      <c r="I63" s="66">
        <f>'3- Statement Model'!D159/'3- Statement Model'!D6</f>
        <v>3.7818959583007315E-2</v>
      </c>
      <c r="J63" s="53">
        <f>INDEX(Assumptions!$B$11:$G$13,Assumptions!$E$2,6)</f>
        <v>4.4999999999999998E-2</v>
      </c>
      <c r="K63" s="53">
        <f>INDEX(Assumptions!$B$11:$G$13,Assumptions!$E$2,6)</f>
        <v>4.4999999999999998E-2</v>
      </c>
      <c r="L63" s="53">
        <f>INDEX(Assumptions!$B$11:$G$13,Assumptions!$E$2,6)</f>
        <v>4.4999999999999998E-2</v>
      </c>
      <c r="M63" s="53">
        <f>INDEX(Assumptions!$B$11:$G$13,Assumptions!$E$2,6)</f>
        <v>4.4999999999999998E-2</v>
      </c>
      <c r="N63" s="53">
        <f>INDEX(Assumptions!$B$11:$G$13,Assumptions!$E$2,6)</f>
        <v>4.4999999999999998E-2</v>
      </c>
      <c r="O63" s="41"/>
      <c r="P63" s="51" t="s">
        <v>366</v>
      </c>
      <c r="Q63" s="41"/>
      <c r="R63" s="41"/>
      <c r="S63" s="41"/>
    </row>
    <row r="64" spans="2:19">
      <c r="B64" s="57" t="s">
        <v>85</v>
      </c>
      <c r="C64" s="48"/>
      <c r="D64" s="48"/>
      <c r="E64" s="48"/>
      <c r="F64" s="48"/>
      <c r="G64" s="48"/>
      <c r="H64" s="54">
        <f>-43694+41334</f>
        <v>-2360</v>
      </c>
      <c r="I64" s="54">
        <f>-32046+29355</f>
        <v>-2691</v>
      </c>
      <c r="J64" s="55">
        <v>-2691</v>
      </c>
      <c r="K64" s="55">
        <v>-2691</v>
      </c>
      <c r="L64" s="55">
        <v>-2691</v>
      </c>
      <c r="M64" s="55">
        <v>-2691</v>
      </c>
      <c r="N64" s="55">
        <v>-2691</v>
      </c>
      <c r="O64" s="41"/>
      <c r="P64" s="51" t="s">
        <v>439</v>
      </c>
      <c r="Q64" s="41"/>
      <c r="R64" s="41"/>
      <c r="S64" s="41"/>
    </row>
    <row r="65" spans="2:19">
      <c r="B65" s="57" t="s">
        <v>95</v>
      </c>
      <c r="C65" s="48"/>
      <c r="D65" s="48"/>
      <c r="E65" s="48"/>
      <c r="F65" s="48"/>
      <c r="G65" s="48"/>
      <c r="H65" s="66">
        <f>'3- Statement Model'!C160/'3- Statement Model'!C158</f>
        <v>-0.24896399975551617</v>
      </c>
      <c r="I65" s="66">
        <f>'3- Statement Model'!D160/'3- Statement Model'!D158</f>
        <v>-0.2639850833888448</v>
      </c>
      <c r="J65" s="53">
        <v>0.26</v>
      </c>
      <c r="K65" s="53">
        <v>0.26</v>
      </c>
      <c r="L65" s="53">
        <v>0.26</v>
      </c>
      <c r="M65" s="53">
        <v>0.26</v>
      </c>
      <c r="N65" s="53">
        <v>0.26</v>
      </c>
      <c r="O65" s="41"/>
      <c r="P65" s="51" t="s">
        <v>367</v>
      </c>
      <c r="Q65" s="41"/>
      <c r="R65" s="41"/>
      <c r="S65" s="41"/>
    </row>
    <row r="66" spans="2:19">
      <c r="B66" s="57" t="s">
        <v>84</v>
      </c>
      <c r="C66" s="48"/>
      <c r="D66" s="48"/>
      <c r="E66" s="48"/>
      <c r="F66" s="48"/>
      <c r="G66" s="48"/>
      <c r="H66" s="54">
        <v>-21239</v>
      </c>
      <c r="I66" s="54">
        <v>7242</v>
      </c>
      <c r="J66" s="55">
        <v>0</v>
      </c>
      <c r="K66" s="55">
        <v>0</v>
      </c>
      <c r="L66" s="55">
        <v>0</v>
      </c>
      <c r="M66" s="55">
        <v>0</v>
      </c>
      <c r="N66" s="55">
        <v>0</v>
      </c>
      <c r="O66" s="41"/>
      <c r="P66" s="51" t="s">
        <v>440</v>
      </c>
      <c r="Q66" s="41"/>
      <c r="R66" s="41"/>
      <c r="S66" s="41"/>
    </row>
    <row r="67" spans="2:19" ht="8" customHeight="1">
      <c r="B67" s="48"/>
      <c r="C67" s="48"/>
      <c r="D67" s="48"/>
      <c r="E67" s="48"/>
      <c r="F67" s="48"/>
      <c r="G67" s="48"/>
      <c r="H67" s="71"/>
      <c r="I67" s="71"/>
      <c r="J67" s="82"/>
      <c r="K67" s="82"/>
      <c r="L67" s="82"/>
      <c r="M67" s="82"/>
      <c r="N67" s="82"/>
      <c r="O67" s="41"/>
      <c r="P67" s="41"/>
      <c r="Q67" s="41"/>
      <c r="R67" s="41"/>
      <c r="S67" s="41"/>
    </row>
    <row r="68" spans="2:19">
      <c r="B68" s="70" t="s">
        <v>30</v>
      </c>
      <c r="C68" s="70"/>
      <c r="D68" s="70"/>
      <c r="E68" s="70"/>
      <c r="F68" s="70"/>
      <c r="G68" s="70"/>
      <c r="H68" s="71"/>
      <c r="I68" s="71"/>
      <c r="J68" s="82"/>
      <c r="K68" s="82"/>
      <c r="L68" s="82"/>
      <c r="M68" s="82"/>
      <c r="N68" s="82"/>
      <c r="O68" s="41"/>
      <c r="P68" s="41"/>
      <c r="Q68" s="41"/>
      <c r="R68" s="41"/>
      <c r="S68" s="41"/>
    </row>
    <row r="69" spans="2:19">
      <c r="B69" s="57" t="s">
        <v>99</v>
      </c>
      <c r="C69" s="48"/>
      <c r="D69" s="48"/>
      <c r="E69" s="48"/>
      <c r="F69" s="48"/>
      <c r="G69" s="48"/>
      <c r="H69" s="56">
        <f>'3- Statement Model'!C170/Assumptions!H20</f>
        <v>1802.5806451612902</v>
      </c>
      <c r="I69" s="56">
        <f>'3- Statement Model'!D170/(Assumptions!I20)</f>
        <v>2258.070796460177</v>
      </c>
      <c r="J69" s="55">
        <v>2000</v>
      </c>
      <c r="K69" s="55">
        <v>2000</v>
      </c>
      <c r="L69" s="55">
        <v>2000</v>
      </c>
      <c r="M69" s="55">
        <v>2000</v>
      </c>
      <c r="N69" s="55">
        <v>2000</v>
      </c>
      <c r="O69" s="41"/>
      <c r="P69" s="51" t="s">
        <v>368</v>
      </c>
      <c r="Q69" s="41"/>
      <c r="R69" s="41"/>
      <c r="S69" s="41"/>
    </row>
    <row r="70" spans="2:19">
      <c r="B70" s="57" t="s">
        <v>100</v>
      </c>
      <c r="C70" s="48"/>
      <c r="D70" s="48"/>
      <c r="E70" s="48"/>
      <c r="F70" s="48"/>
      <c r="G70" s="48"/>
      <c r="H70" s="66">
        <f>-'3- Statement Model'!C171/'3- Statement Model'!C169</f>
        <v>0.36872395953484732</v>
      </c>
      <c r="I70" s="66">
        <f>-'3- Statement Model'!D171/'3- Statement Model'!D169</f>
        <v>0.36315616531285</v>
      </c>
      <c r="J70" s="53">
        <v>0.36</v>
      </c>
      <c r="K70" s="53">
        <v>0.36</v>
      </c>
      <c r="L70" s="53">
        <v>0.36</v>
      </c>
      <c r="M70" s="53">
        <v>0.36</v>
      </c>
      <c r="N70" s="53">
        <v>0.36</v>
      </c>
      <c r="O70" s="41"/>
      <c r="P70" s="51" t="s">
        <v>369</v>
      </c>
      <c r="Q70" s="41"/>
      <c r="R70" s="41"/>
      <c r="S70" s="41"/>
    </row>
    <row r="71" spans="2:19">
      <c r="B71" s="57" t="s">
        <v>97</v>
      </c>
      <c r="C71" s="48"/>
      <c r="D71" s="48"/>
      <c r="E71" s="48"/>
      <c r="F71" s="48"/>
      <c r="G71" s="48"/>
      <c r="H71" s="54">
        <v>-16217</v>
      </c>
      <c r="I71" s="54">
        <v>-7179</v>
      </c>
      <c r="J71" s="55">
        <v>-7179</v>
      </c>
      <c r="K71" s="55">
        <v>-7179</v>
      </c>
      <c r="L71" s="55">
        <v>-7179</v>
      </c>
      <c r="M71" s="55">
        <v>-7179</v>
      </c>
      <c r="N71" s="55">
        <v>-7179</v>
      </c>
      <c r="O71" s="41"/>
      <c r="P71" s="51" t="s">
        <v>370</v>
      </c>
      <c r="Q71" s="41"/>
      <c r="R71" s="41"/>
      <c r="S71" s="41"/>
    </row>
    <row r="72" spans="2:19">
      <c r="B72" s="70" t="s">
        <v>96</v>
      </c>
      <c r="C72" s="70"/>
      <c r="D72" s="70"/>
      <c r="E72" s="70"/>
      <c r="F72" s="70"/>
      <c r="G72" s="70"/>
      <c r="H72" s="41"/>
      <c r="I72" s="41"/>
      <c r="J72" s="69"/>
      <c r="K72" s="69"/>
      <c r="L72" s="69"/>
      <c r="M72" s="69"/>
      <c r="N72" s="69"/>
      <c r="O72" s="41"/>
      <c r="P72" s="41"/>
      <c r="Q72" s="41"/>
      <c r="R72" s="41"/>
      <c r="S72" s="41"/>
    </row>
    <row r="73" spans="2:19">
      <c r="B73" s="57" t="s">
        <v>470</v>
      </c>
      <c r="C73" s="48"/>
      <c r="D73" s="48"/>
      <c r="E73" s="48"/>
      <c r="F73" s="48"/>
      <c r="G73" s="48"/>
      <c r="H73" s="41"/>
      <c r="I73" s="41"/>
      <c r="J73" s="69"/>
      <c r="K73" s="69"/>
      <c r="L73" s="69"/>
      <c r="M73" s="69"/>
      <c r="N73" s="69"/>
      <c r="O73" s="41"/>
      <c r="P73" s="51" t="s">
        <v>450</v>
      </c>
      <c r="Q73" s="41"/>
      <c r="R73" s="41"/>
      <c r="S73" s="41"/>
    </row>
    <row r="74" spans="2:19">
      <c r="B74" s="57" t="s">
        <v>598</v>
      </c>
      <c r="C74" s="48"/>
      <c r="D74" s="48"/>
      <c r="E74" s="48"/>
      <c r="F74" s="48"/>
      <c r="G74" s="48"/>
      <c r="H74" s="66">
        <f>-'3- Statement Model'!C182/'3- Statement Model'!C180</f>
        <v>0.35410957013458677</v>
      </c>
      <c r="I74" s="66">
        <f>-'3- Statement Model'!D182/'3- Statement Model'!D180</f>
        <v>0.33240272203803872</v>
      </c>
      <c r="J74" s="53">
        <v>0.35</v>
      </c>
      <c r="K74" s="53">
        <v>0.35</v>
      </c>
      <c r="L74" s="53">
        <v>0.35</v>
      </c>
      <c r="M74" s="53">
        <v>0.35</v>
      </c>
      <c r="N74" s="53">
        <v>0.35</v>
      </c>
      <c r="O74" s="41"/>
      <c r="P74" s="51" t="s">
        <v>380</v>
      </c>
      <c r="Q74" s="41"/>
      <c r="R74" s="41"/>
      <c r="S74" s="41"/>
    </row>
    <row r="75" spans="2:19">
      <c r="B75" s="57" t="s">
        <v>599</v>
      </c>
      <c r="C75" s="48"/>
      <c r="D75" s="48"/>
      <c r="E75" s="48"/>
      <c r="F75" s="48"/>
      <c r="G75" s="48"/>
      <c r="H75" s="66">
        <f>'3- Statement Model'!C187/'3- Statement Model'!C185</f>
        <v>0.32753947179746767</v>
      </c>
      <c r="I75" s="66">
        <f>'3- Statement Model'!D187/'3- Statement Model'!D185</f>
        <v>0.32655702421776223</v>
      </c>
      <c r="J75" s="53">
        <v>0.33</v>
      </c>
      <c r="K75" s="53">
        <v>0.33</v>
      </c>
      <c r="L75" s="53">
        <v>0.33</v>
      </c>
      <c r="M75" s="53">
        <v>0.33</v>
      </c>
      <c r="N75" s="53">
        <v>0.33</v>
      </c>
      <c r="O75" s="41"/>
      <c r="P75" s="51" t="s">
        <v>451</v>
      </c>
      <c r="Q75" s="41"/>
      <c r="R75" s="41"/>
      <c r="S75" s="41"/>
    </row>
    <row r="76" spans="2:19" ht="7.5" customHeight="1">
      <c r="B76" s="48"/>
      <c r="C76" s="48"/>
      <c r="D76" s="48"/>
      <c r="E76" s="48"/>
      <c r="F76" s="48"/>
      <c r="G76" s="48"/>
      <c r="H76" s="71"/>
      <c r="I76" s="71"/>
      <c r="J76" s="82"/>
      <c r="K76" s="82"/>
      <c r="L76" s="82"/>
      <c r="M76" s="82"/>
      <c r="N76" s="82"/>
      <c r="O76" s="41"/>
      <c r="P76" s="41"/>
      <c r="Q76" s="41"/>
      <c r="R76" s="41"/>
      <c r="S76" s="41"/>
    </row>
    <row r="77" spans="2:19">
      <c r="B77" s="70" t="s">
        <v>265</v>
      </c>
      <c r="C77" s="70"/>
      <c r="D77" s="70"/>
      <c r="E77" s="70"/>
      <c r="F77" s="70"/>
      <c r="G77" s="70"/>
      <c r="H77" s="54">
        <v>3356</v>
      </c>
      <c r="I77" s="54">
        <v>3712</v>
      </c>
      <c r="J77" s="55">
        <v>3712</v>
      </c>
      <c r="K77" s="55">
        <v>3712</v>
      </c>
      <c r="L77" s="55">
        <v>3712</v>
      </c>
      <c r="M77" s="55">
        <v>3712</v>
      </c>
      <c r="N77" s="55">
        <v>3712</v>
      </c>
      <c r="O77" s="41"/>
      <c r="P77" s="51" t="s">
        <v>441</v>
      </c>
      <c r="Q77" s="41"/>
      <c r="R77" s="41"/>
      <c r="S77" s="41"/>
    </row>
    <row r="78" spans="2:19" ht="7.5" customHeight="1">
      <c r="B78" s="70"/>
      <c r="C78" s="70"/>
      <c r="D78" s="70"/>
      <c r="E78" s="70"/>
      <c r="F78" s="70"/>
      <c r="G78" s="70"/>
      <c r="H78" s="73"/>
      <c r="I78" s="73"/>
      <c r="J78" s="55"/>
      <c r="K78" s="55"/>
      <c r="L78" s="55"/>
      <c r="M78" s="55"/>
      <c r="N78" s="55"/>
      <c r="O78" s="41"/>
      <c r="P78" s="41"/>
      <c r="Q78" s="41"/>
      <c r="R78" s="41"/>
      <c r="S78" s="41"/>
    </row>
    <row r="79" spans="2:19">
      <c r="B79" s="70" t="s">
        <v>267</v>
      </c>
      <c r="C79" s="70"/>
      <c r="D79" s="70"/>
      <c r="E79" s="70"/>
      <c r="F79" s="70"/>
      <c r="G79" s="70"/>
      <c r="H79" s="73"/>
      <c r="I79" s="73"/>
      <c r="J79" s="55"/>
      <c r="K79" s="55"/>
      <c r="L79" s="55"/>
      <c r="M79" s="55"/>
      <c r="N79" s="55"/>
      <c r="O79" s="41"/>
      <c r="P79" s="41"/>
      <c r="Q79" s="41"/>
      <c r="R79" s="41"/>
      <c r="S79" s="41"/>
    </row>
    <row r="80" spans="2:19">
      <c r="B80" s="70" t="s">
        <v>330</v>
      </c>
      <c r="C80" s="70"/>
      <c r="D80" s="70"/>
      <c r="E80" s="70"/>
      <c r="F80" s="70"/>
      <c r="G80" s="70"/>
      <c r="H80" s="73"/>
      <c r="I80" s="73"/>
      <c r="J80" s="55"/>
      <c r="K80" s="55"/>
      <c r="L80" s="55"/>
      <c r="M80" s="55"/>
      <c r="N80" s="55"/>
      <c r="O80" s="41"/>
      <c r="P80" s="41"/>
      <c r="Q80" s="41"/>
      <c r="R80" s="41"/>
      <c r="S80" s="41"/>
    </row>
    <row r="81" spans="2:19" ht="15" customHeight="1">
      <c r="B81" s="57" t="s">
        <v>93</v>
      </c>
      <c r="C81" s="48"/>
      <c r="D81" s="48"/>
      <c r="E81" s="48"/>
      <c r="F81" s="48"/>
      <c r="G81" s="48"/>
      <c r="H81" s="66">
        <f>'3- Statement Model'!C195/'3- Statement Model'!C6</f>
        <v>7.8292897101219019E-3</v>
      </c>
      <c r="I81" s="66">
        <f>'3- Statement Model'!D195/'3- Statement Model'!D6</f>
        <v>4.8688208525040251E-3</v>
      </c>
      <c r="J81" s="53">
        <v>6.0000000000000001E-3</v>
      </c>
      <c r="K81" s="53">
        <v>6.0000000000000001E-3</v>
      </c>
      <c r="L81" s="53">
        <v>6.0000000000000001E-3</v>
      </c>
      <c r="M81" s="53">
        <v>6.0000000000000001E-3</v>
      </c>
      <c r="N81" s="53">
        <v>6.0000000000000001E-3</v>
      </c>
      <c r="O81" s="41"/>
      <c r="P81" s="51" t="s">
        <v>371</v>
      </c>
      <c r="Q81" s="41"/>
      <c r="R81" s="41"/>
      <c r="S81" s="41"/>
    </row>
    <row r="82" spans="2:19">
      <c r="B82" s="57" t="s">
        <v>85</v>
      </c>
      <c r="C82" s="48"/>
      <c r="D82" s="48"/>
      <c r="E82" s="48"/>
      <c r="F82" s="48"/>
      <c r="G82" s="48"/>
      <c r="H82" s="54">
        <f>-4292+1739</f>
        <v>-2553</v>
      </c>
      <c r="I82" s="54">
        <f>-4343+2351</f>
        <v>-1992</v>
      </c>
      <c r="J82" s="55">
        <v>-1992</v>
      </c>
      <c r="K82" s="55">
        <v>-1992</v>
      </c>
      <c r="L82" s="55">
        <v>-1992</v>
      </c>
      <c r="M82" s="55">
        <v>-1992</v>
      </c>
      <c r="N82" s="55">
        <v>-1992</v>
      </c>
      <c r="O82" s="41"/>
      <c r="P82" s="51" t="s">
        <v>442</v>
      </c>
      <c r="Q82" s="41"/>
      <c r="R82" s="41"/>
      <c r="S82" s="41"/>
    </row>
    <row r="83" spans="2:19">
      <c r="B83" s="57" t="s">
        <v>94</v>
      </c>
      <c r="C83" s="48"/>
      <c r="D83" s="48"/>
      <c r="E83" s="48"/>
      <c r="F83" s="48"/>
      <c r="G83" s="48"/>
      <c r="H83" s="66">
        <f>-'3- Statement Model'!C196/'3- Statement Model'!C194</f>
        <v>0.18809326056003797</v>
      </c>
      <c r="I83" s="66">
        <f>-'3- Statement Model'!D196/'3- Statement Model'!D194</f>
        <v>0.24568841742538133</v>
      </c>
      <c r="J83" s="53">
        <v>0.2</v>
      </c>
      <c r="K83" s="53">
        <v>0.2</v>
      </c>
      <c r="L83" s="53">
        <v>0.2</v>
      </c>
      <c r="M83" s="53">
        <v>0.2</v>
      </c>
      <c r="N83" s="53">
        <v>0.2</v>
      </c>
      <c r="O83" s="41"/>
      <c r="P83" s="51" t="s">
        <v>372</v>
      </c>
      <c r="Q83" s="41"/>
      <c r="R83" s="41"/>
      <c r="S83" s="41"/>
    </row>
    <row r="84" spans="2:19">
      <c r="B84" s="70" t="s">
        <v>324</v>
      </c>
      <c r="C84" s="70"/>
      <c r="D84" s="70"/>
      <c r="E84" s="70"/>
      <c r="F84" s="70"/>
      <c r="G84" s="70"/>
      <c r="H84" s="83"/>
      <c r="I84" s="83"/>
      <c r="J84" s="82"/>
      <c r="K84" s="82"/>
      <c r="L84" s="82"/>
      <c r="M84" s="82"/>
      <c r="N84" s="82"/>
      <c r="O84" s="41"/>
      <c r="P84" s="41"/>
      <c r="Q84" s="41"/>
      <c r="R84" s="41"/>
      <c r="S84" s="41"/>
    </row>
    <row r="85" spans="2:19">
      <c r="B85" s="57" t="s">
        <v>82</v>
      </c>
      <c r="C85" s="48"/>
      <c r="D85" s="48"/>
      <c r="E85" s="48"/>
      <c r="F85" s="48"/>
      <c r="G85" s="48"/>
      <c r="H85" s="54">
        <v>0</v>
      </c>
      <c r="I85" s="54">
        <v>0</v>
      </c>
      <c r="J85" s="55">
        <v>20830</v>
      </c>
      <c r="K85" s="55">
        <v>0</v>
      </c>
      <c r="L85" s="55">
        <v>0</v>
      </c>
      <c r="M85" s="55">
        <v>0</v>
      </c>
      <c r="N85" s="55">
        <v>0</v>
      </c>
      <c r="O85" s="41"/>
      <c r="P85" s="51" t="s">
        <v>373</v>
      </c>
      <c r="Q85" s="41"/>
      <c r="R85" s="41"/>
      <c r="S85" s="41"/>
    </row>
    <row r="86" spans="2:19">
      <c r="B86" s="58" t="s">
        <v>94</v>
      </c>
      <c r="C86" s="62"/>
      <c r="D86" s="62"/>
      <c r="E86" s="62"/>
      <c r="F86" s="62"/>
      <c r="G86" s="62"/>
      <c r="H86" s="67">
        <v>0</v>
      </c>
      <c r="I86" s="67">
        <v>0</v>
      </c>
      <c r="J86" s="89">
        <f>100%/75*10/12</f>
        <v>1.1111111111111112E-2</v>
      </c>
      <c r="K86" s="89">
        <f>100%/75</f>
        <v>1.3333333333333334E-2</v>
      </c>
      <c r="L86" s="89">
        <f>100%/75</f>
        <v>1.3333333333333334E-2</v>
      </c>
      <c r="M86" s="89">
        <f>100%/75</f>
        <v>1.3333333333333334E-2</v>
      </c>
      <c r="N86" s="89">
        <f>100%/75</f>
        <v>1.3333333333333334E-2</v>
      </c>
      <c r="O86" s="61"/>
      <c r="P86" s="68" t="s">
        <v>374</v>
      </c>
      <c r="Q86" s="41"/>
      <c r="R86" s="41"/>
      <c r="S86" s="41"/>
    </row>
    <row r="87" spans="2:19" ht="7" customHeight="1">
      <c r="B87" s="48"/>
      <c r="C87" s="48"/>
      <c r="D87" s="48"/>
      <c r="E87" s="48"/>
      <c r="F87" s="48"/>
      <c r="G87" s="48"/>
      <c r="H87" s="52"/>
      <c r="I87" s="52"/>
      <c r="J87" s="53"/>
      <c r="K87" s="53"/>
      <c r="L87" s="53"/>
      <c r="M87" s="53"/>
      <c r="N87" s="53"/>
      <c r="O87" s="41"/>
      <c r="P87" s="51"/>
      <c r="Q87" s="41"/>
      <c r="R87" s="41"/>
      <c r="S87" s="41"/>
    </row>
    <row r="88" spans="2:19">
      <c r="B88" s="47" t="s">
        <v>518</v>
      </c>
      <c r="C88" s="47"/>
      <c r="D88" s="47"/>
      <c r="E88" s="47"/>
      <c r="F88" s="47"/>
      <c r="G88" s="47"/>
      <c r="H88" s="54"/>
      <c r="I88" s="54"/>
      <c r="J88" s="55"/>
      <c r="K88" s="55"/>
      <c r="L88" s="55"/>
      <c r="M88" s="55"/>
      <c r="N88" s="55"/>
      <c r="O88" s="84"/>
      <c r="P88" s="84"/>
      <c r="Q88" s="41"/>
      <c r="R88" s="41"/>
      <c r="S88" s="41"/>
    </row>
    <row r="89" spans="2:19">
      <c r="B89" s="48" t="s">
        <v>35</v>
      </c>
      <c r="C89" s="48"/>
      <c r="D89" s="48"/>
      <c r="E89" s="48"/>
      <c r="F89" s="48"/>
      <c r="G89" s="48"/>
      <c r="H89" s="54">
        <v>2280</v>
      </c>
      <c r="I89" s="54">
        <v>3594</v>
      </c>
      <c r="J89" s="55">
        <v>3594</v>
      </c>
      <c r="K89" s="55">
        <v>3594</v>
      </c>
      <c r="L89" s="55">
        <v>3594</v>
      </c>
      <c r="M89" s="55">
        <v>3594</v>
      </c>
      <c r="N89" s="55">
        <v>3594</v>
      </c>
      <c r="O89" s="41"/>
      <c r="P89" s="51" t="s">
        <v>449</v>
      </c>
      <c r="Q89" s="41"/>
      <c r="R89" s="41"/>
      <c r="S89" s="41"/>
    </row>
    <row r="90" spans="2:19">
      <c r="B90" s="48" t="s">
        <v>418</v>
      </c>
      <c r="C90" s="48"/>
      <c r="D90" s="48"/>
      <c r="E90" s="48"/>
      <c r="F90" s="48"/>
      <c r="G90" s="48"/>
      <c r="H90" s="54">
        <v>2015</v>
      </c>
      <c r="I90" s="54">
        <v>2110</v>
      </c>
      <c r="J90" s="55">
        <v>2110</v>
      </c>
      <c r="K90" s="55">
        <v>2110</v>
      </c>
      <c r="L90" s="55">
        <v>2110</v>
      </c>
      <c r="M90" s="55">
        <v>2110</v>
      </c>
      <c r="N90" s="55">
        <v>2110</v>
      </c>
      <c r="O90" s="41"/>
      <c r="P90" s="51" t="s">
        <v>453</v>
      </c>
      <c r="Q90" s="41"/>
      <c r="R90" s="41"/>
      <c r="S90" s="41"/>
    </row>
    <row r="91" spans="2:19">
      <c r="B91" s="48" t="s">
        <v>49</v>
      </c>
      <c r="C91" s="48"/>
      <c r="D91" s="48"/>
      <c r="E91" s="48"/>
      <c r="F91" s="48"/>
      <c r="G91" s="48"/>
      <c r="H91" s="54">
        <v>17854</v>
      </c>
      <c r="I91" s="54">
        <v>36745</v>
      </c>
      <c r="J91" s="55">
        <v>36745</v>
      </c>
      <c r="K91" s="55">
        <v>36745</v>
      </c>
      <c r="L91" s="55">
        <v>36745</v>
      </c>
      <c r="M91" s="55">
        <v>36745</v>
      </c>
      <c r="N91" s="55">
        <v>36745</v>
      </c>
      <c r="O91" s="41"/>
      <c r="P91" s="51" t="s">
        <v>454</v>
      </c>
      <c r="Q91" s="41"/>
      <c r="R91" s="41"/>
      <c r="S91" s="41"/>
    </row>
    <row r="92" spans="2:19">
      <c r="B92" s="48" t="s">
        <v>50</v>
      </c>
      <c r="C92" s="48"/>
      <c r="D92" s="48"/>
      <c r="E92" s="48"/>
      <c r="F92" s="48"/>
      <c r="G92" s="48"/>
      <c r="H92" s="54">
        <v>13262</v>
      </c>
      <c r="I92" s="54">
        <v>16681</v>
      </c>
      <c r="J92" s="55">
        <f t="shared" ref="J92:N93" si="2">I92</f>
        <v>16681</v>
      </c>
      <c r="K92" s="55">
        <f t="shared" si="2"/>
        <v>16681</v>
      </c>
      <c r="L92" s="55">
        <f t="shared" si="2"/>
        <v>16681</v>
      </c>
      <c r="M92" s="55">
        <f t="shared" si="2"/>
        <v>16681</v>
      </c>
      <c r="N92" s="55">
        <f t="shared" si="2"/>
        <v>16681</v>
      </c>
      <c r="O92" s="41"/>
      <c r="P92" s="51" t="s">
        <v>382</v>
      </c>
      <c r="Q92" s="41"/>
      <c r="R92" s="41"/>
      <c r="S92" s="41"/>
    </row>
    <row r="93" spans="2:19">
      <c r="B93" s="48" t="s">
        <v>51</v>
      </c>
      <c r="C93" s="48"/>
      <c r="D93" s="48"/>
      <c r="E93" s="48"/>
      <c r="F93" s="48"/>
      <c r="G93" s="48"/>
      <c r="H93" s="54">
        <v>17141</v>
      </c>
      <c r="I93" s="54">
        <v>15077</v>
      </c>
      <c r="J93" s="55">
        <f t="shared" si="2"/>
        <v>15077</v>
      </c>
      <c r="K93" s="55">
        <f t="shared" si="2"/>
        <v>15077</v>
      </c>
      <c r="L93" s="55">
        <f t="shared" si="2"/>
        <v>15077</v>
      </c>
      <c r="M93" s="55">
        <f t="shared" si="2"/>
        <v>15077</v>
      </c>
      <c r="N93" s="55">
        <f t="shared" si="2"/>
        <v>15077</v>
      </c>
      <c r="O93" s="41"/>
      <c r="P93" s="51" t="s">
        <v>455</v>
      </c>
      <c r="Q93" s="41"/>
      <c r="R93" s="41"/>
      <c r="S93" s="41"/>
    </row>
    <row r="94" spans="2:19" ht="7.5" customHeight="1">
      <c r="B94" s="41"/>
      <c r="C94" s="41"/>
      <c r="D94" s="41"/>
      <c r="E94" s="41"/>
      <c r="F94" s="41"/>
      <c r="G94" s="41"/>
      <c r="H94" s="54"/>
      <c r="I94" s="54"/>
      <c r="J94" s="55"/>
      <c r="K94" s="55"/>
      <c r="L94" s="55"/>
      <c r="M94" s="55"/>
      <c r="N94" s="55"/>
      <c r="O94" s="84"/>
      <c r="P94" s="84"/>
      <c r="Q94" s="41"/>
      <c r="R94" s="41"/>
      <c r="S94" s="41"/>
    </row>
    <row r="95" spans="2:19">
      <c r="B95" s="48" t="s">
        <v>57</v>
      </c>
      <c r="C95" s="48"/>
      <c r="D95" s="48"/>
      <c r="E95" s="48"/>
      <c r="F95" s="48"/>
      <c r="G95" s="48"/>
      <c r="H95" s="54">
        <v>-28895</v>
      </c>
      <c r="I95" s="54">
        <v>-22819</v>
      </c>
      <c r="J95" s="55">
        <v>-25795</v>
      </c>
      <c r="K95" s="55">
        <v>-25795</v>
      </c>
      <c r="L95" s="55">
        <v>-25795</v>
      </c>
      <c r="M95" s="55">
        <v>-25795</v>
      </c>
      <c r="N95" s="55">
        <v>-25795</v>
      </c>
      <c r="O95" s="41"/>
      <c r="P95" s="51" t="s">
        <v>383</v>
      </c>
      <c r="Q95" s="41"/>
      <c r="R95" s="41"/>
      <c r="S95" s="41"/>
    </row>
    <row r="96" spans="2:19">
      <c r="B96" s="62" t="s">
        <v>58</v>
      </c>
      <c r="C96" s="62"/>
      <c r="D96" s="62"/>
      <c r="E96" s="62"/>
      <c r="F96" s="62"/>
      <c r="G96" s="62"/>
      <c r="H96" s="60">
        <v>3686</v>
      </c>
      <c r="I96" s="60">
        <v>984</v>
      </c>
      <c r="J96" s="88">
        <v>984</v>
      </c>
      <c r="K96" s="88">
        <v>984</v>
      </c>
      <c r="L96" s="88">
        <v>984</v>
      </c>
      <c r="M96" s="88">
        <v>984</v>
      </c>
      <c r="N96" s="88">
        <v>984</v>
      </c>
      <c r="O96" s="61"/>
      <c r="P96" s="68" t="s">
        <v>456</v>
      </c>
      <c r="Q96" s="41"/>
      <c r="R96" s="41"/>
      <c r="S96" s="41"/>
    </row>
    <row r="97" spans="2:19" ht="7.5" customHeight="1">
      <c r="B97" s="41"/>
      <c r="C97" s="41"/>
      <c r="D97" s="41"/>
      <c r="E97" s="41"/>
      <c r="F97" s="41"/>
      <c r="G97" s="41"/>
      <c r="H97" s="41"/>
      <c r="I97" s="41"/>
      <c r="J97" s="72"/>
      <c r="K97" s="72"/>
      <c r="L97" s="85"/>
      <c r="M97" s="72"/>
      <c r="N97" s="72"/>
      <c r="O97" s="84"/>
      <c r="P97" s="84"/>
      <c r="Q97" s="41"/>
      <c r="R97" s="41"/>
      <c r="S97" s="41"/>
    </row>
    <row r="98" spans="2:19">
      <c r="B98" s="47" t="s">
        <v>286</v>
      </c>
      <c r="C98" s="47"/>
      <c r="D98" s="47"/>
      <c r="E98" s="47"/>
      <c r="F98" s="47"/>
      <c r="G98" s="47"/>
      <c r="H98" s="41"/>
      <c r="I98" s="41"/>
      <c r="J98" s="72"/>
      <c r="K98" s="72"/>
      <c r="L98" s="85"/>
      <c r="M98" s="72"/>
      <c r="N98" s="72"/>
      <c r="O98" s="84"/>
      <c r="P98" s="84"/>
      <c r="Q98" s="41"/>
      <c r="R98" s="41"/>
      <c r="S98" s="41"/>
    </row>
    <row r="99" spans="2:19">
      <c r="B99" s="57" t="s">
        <v>287</v>
      </c>
      <c r="C99" s="48"/>
      <c r="D99" s="48"/>
      <c r="E99" s="48"/>
      <c r="F99" s="48"/>
      <c r="G99" s="48"/>
      <c r="H99" s="52">
        <f>3326/68561</f>
        <v>4.851154446405391E-2</v>
      </c>
      <c r="I99" s="52">
        <f>3226/'3- Statement Model'!C64</f>
        <v>4.7180987202925045E-2</v>
      </c>
      <c r="J99" s="53">
        <v>4.6899999999999997E-2</v>
      </c>
      <c r="K99" s="53">
        <v>4.6899999999999997E-2</v>
      </c>
      <c r="L99" s="53">
        <v>4.6899999999999997E-2</v>
      </c>
      <c r="M99" s="53">
        <v>4.6899999999999997E-2</v>
      </c>
      <c r="N99" s="53">
        <v>4.6899999999999997E-2</v>
      </c>
      <c r="O99" s="84"/>
      <c r="P99" s="86" t="s">
        <v>384</v>
      </c>
      <c r="Q99" s="41"/>
      <c r="R99" s="41"/>
      <c r="S99" s="41"/>
    </row>
    <row r="100" spans="2:19">
      <c r="B100" s="57" t="s">
        <v>290</v>
      </c>
      <c r="C100" s="48"/>
      <c r="D100" s="48"/>
      <c r="E100" s="48"/>
      <c r="F100" s="48"/>
      <c r="G100" s="48"/>
      <c r="H100" s="52">
        <v>0.14899999999999999</v>
      </c>
      <c r="I100" s="52">
        <v>0.14499999999999999</v>
      </c>
      <c r="J100" s="53">
        <v>0.14699999999999999</v>
      </c>
      <c r="K100" s="53">
        <v>0.14699999999999999</v>
      </c>
      <c r="L100" s="53">
        <v>0.14699999999999999</v>
      </c>
      <c r="M100" s="53">
        <v>0.14699999999999999</v>
      </c>
      <c r="N100" s="53">
        <v>0.14699999999999999</v>
      </c>
      <c r="O100" s="41"/>
      <c r="P100" s="51" t="s">
        <v>385</v>
      </c>
      <c r="Q100" s="41"/>
      <c r="R100" s="41"/>
      <c r="S100" s="41"/>
    </row>
    <row r="101" spans="2:19">
      <c r="B101" s="58" t="s">
        <v>291</v>
      </c>
      <c r="C101" s="62"/>
      <c r="D101" s="62"/>
      <c r="E101" s="62"/>
      <c r="F101" s="62"/>
      <c r="G101" s="62"/>
      <c r="H101" s="67">
        <v>0.20599999999999999</v>
      </c>
      <c r="I101" s="67">
        <v>0.16200000000000001</v>
      </c>
      <c r="J101" s="89">
        <v>0.16200000000000001</v>
      </c>
      <c r="K101" s="89">
        <v>0.16200000000000001</v>
      </c>
      <c r="L101" s="89">
        <v>0.16200000000000001</v>
      </c>
      <c r="M101" s="89">
        <v>0.16200000000000001</v>
      </c>
      <c r="N101" s="89">
        <v>0.16200000000000001</v>
      </c>
      <c r="O101" s="61"/>
      <c r="P101" s="68" t="s">
        <v>386</v>
      </c>
      <c r="Q101" s="41"/>
      <c r="R101" s="41"/>
      <c r="S101" s="41"/>
    </row>
    <row r="102" spans="2:19" ht="7" customHeight="1">
      <c r="B102" s="41"/>
      <c r="C102" s="41"/>
      <c r="D102" s="41"/>
      <c r="E102" s="41"/>
      <c r="F102" s="41"/>
      <c r="G102" s="41"/>
      <c r="H102" s="41"/>
      <c r="I102" s="41"/>
      <c r="J102" s="87"/>
      <c r="K102" s="87"/>
      <c r="L102" s="87"/>
      <c r="M102" s="87"/>
      <c r="N102" s="87"/>
      <c r="O102" s="64"/>
      <c r="P102" s="64"/>
      <c r="Q102" s="41"/>
      <c r="R102" s="41"/>
      <c r="S102" s="41"/>
    </row>
    <row r="103" spans="2:19">
      <c r="B103" s="63" t="s">
        <v>540</v>
      </c>
      <c r="C103" s="63"/>
      <c r="D103" s="63"/>
      <c r="E103" s="63"/>
      <c r="F103" s="63"/>
      <c r="G103" s="63"/>
      <c r="H103" s="41"/>
      <c r="I103" s="41"/>
      <c r="J103" s="69"/>
      <c r="K103" s="69"/>
      <c r="L103" s="69"/>
      <c r="M103" s="69"/>
      <c r="N103" s="69"/>
      <c r="O103" s="41"/>
      <c r="P103" s="41"/>
      <c r="Q103" s="41"/>
      <c r="R103" s="41"/>
      <c r="S103" s="41"/>
    </row>
    <row r="104" spans="2:19">
      <c r="B104" s="48" t="s">
        <v>352</v>
      </c>
      <c r="C104" s="48"/>
      <c r="D104" s="48"/>
      <c r="E104" s="48"/>
      <c r="F104" s="48"/>
      <c r="G104" s="48"/>
      <c r="H104" s="54">
        <v>179424</v>
      </c>
      <c r="I104" s="54">
        <v>126987</v>
      </c>
      <c r="J104" s="55">
        <v>201567</v>
      </c>
      <c r="K104" s="55">
        <v>0</v>
      </c>
      <c r="L104" s="55">
        <v>0</v>
      </c>
      <c r="M104" s="55">
        <v>0</v>
      </c>
      <c r="N104" s="55">
        <v>0</v>
      </c>
      <c r="O104" s="41"/>
      <c r="P104" s="51" t="s">
        <v>387</v>
      </c>
      <c r="Q104" s="41"/>
      <c r="R104" s="41"/>
      <c r="S104" s="41"/>
    </row>
    <row r="105" spans="2:19" ht="13.5" customHeight="1">
      <c r="B105" s="48" t="s">
        <v>353</v>
      </c>
      <c r="C105" s="48"/>
      <c r="D105" s="48"/>
      <c r="E105" s="48"/>
      <c r="F105" s="48"/>
      <c r="G105" s="48"/>
      <c r="H105" s="52"/>
      <c r="I105" s="52"/>
      <c r="J105" s="53">
        <f>J104/'3- Statement Model'!D31</f>
        <v>0.92271457999542228</v>
      </c>
      <c r="K105" s="53">
        <v>0.9</v>
      </c>
      <c r="L105" s="53">
        <v>0.9</v>
      </c>
      <c r="M105" s="53">
        <v>0.9</v>
      </c>
      <c r="N105" s="53">
        <v>0.9</v>
      </c>
      <c r="O105" s="41"/>
      <c r="P105" s="51" t="s">
        <v>432</v>
      </c>
      <c r="Q105" s="41"/>
      <c r="R105" s="41"/>
      <c r="S105" s="41"/>
    </row>
    <row r="106" spans="2:19">
      <c r="B106" s="48" t="s">
        <v>299</v>
      </c>
      <c r="C106" s="48"/>
      <c r="D106" s="48"/>
      <c r="E106" s="48"/>
      <c r="F106" s="48"/>
      <c r="G106" s="48"/>
      <c r="H106" s="54">
        <v>-504</v>
      </c>
      <c r="I106" s="54">
        <v>-1680</v>
      </c>
      <c r="J106" s="55">
        <v>-1100</v>
      </c>
      <c r="K106" s="55">
        <v>-1100</v>
      </c>
      <c r="L106" s="55">
        <v>-1100</v>
      </c>
      <c r="M106" s="55">
        <v>-1100</v>
      </c>
      <c r="N106" s="55">
        <v>-1100</v>
      </c>
      <c r="O106" s="41"/>
      <c r="P106" s="51" t="s">
        <v>388</v>
      </c>
      <c r="Q106" s="41"/>
      <c r="R106" s="41"/>
      <c r="S106" s="41"/>
    </row>
    <row r="107" spans="2:19">
      <c r="B107" s="48" t="s">
        <v>300</v>
      </c>
      <c r="C107" s="48"/>
      <c r="D107" s="48"/>
      <c r="E107" s="48"/>
      <c r="F107" s="48"/>
      <c r="G107" s="48"/>
      <c r="H107" s="54">
        <v>2441</v>
      </c>
      <c r="I107" s="54">
        <v>1222</v>
      </c>
      <c r="J107" s="55">
        <v>1700</v>
      </c>
      <c r="K107" s="55">
        <v>1700</v>
      </c>
      <c r="L107" s="55">
        <v>1700</v>
      </c>
      <c r="M107" s="55">
        <v>1700</v>
      </c>
      <c r="N107" s="55">
        <v>1700</v>
      </c>
      <c r="O107" s="41"/>
      <c r="P107" s="51" t="s">
        <v>389</v>
      </c>
      <c r="Q107" s="41"/>
      <c r="R107" s="41"/>
      <c r="S107" s="41"/>
    </row>
    <row r="108" spans="2:19">
      <c r="B108" s="48" t="s">
        <v>333</v>
      </c>
      <c r="C108" s="48"/>
      <c r="D108" s="48"/>
      <c r="E108" s="48"/>
      <c r="F108" s="48"/>
      <c r="G108" s="48"/>
      <c r="H108" s="54">
        <v>0</v>
      </c>
      <c r="I108" s="54">
        <v>-10565</v>
      </c>
      <c r="J108" s="55">
        <v>-20830</v>
      </c>
      <c r="K108" s="55">
        <v>0</v>
      </c>
      <c r="L108" s="55">
        <v>0</v>
      </c>
      <c r="M108" s="55">
        <v>0</v>
      </c>
      <c r="N108" s="55">
        <v>0</v>
      </c>
      <c r="O108" s="41"/>
      <c r="P108" s="51" t="s">
        <v>433</v>
      </c>
      <c r="Q108" s="41"/>
      <c r="R108" s="41"/>
      <c r="S108" s="41"/>
    </row>
    <row r="109" spans="2:19" ht="7.5" customHeight="1">
      <c r="B109" s="94"/>
      <c r="C109" s="94"/>
      <c r="D109" s="94"/>
      <c r="E109" s="94"/>
      <c r="F109" s="94"/>
      <c r="G109" s="94"/>
      <c r="H109" s="94"/>
      <c r="I109" s="94"/>
      <c r="J109" s="94"/>
      <c r="K109" s="94"/>
      <c r="L109" s="94"/>
      <c r="M109" s="94"/>
      <c r="N109" s="94"/>
      <c r="O109" s="94"/>
      <c r="P109" s="94"/>
    </row>
  </sheetData>
  <conditionalFormatting sqref="B11:G13">
    <cfRule type="expression" dxfId="0" priority="9">
      <formula>$B11=$E$2</formula>
    </cfRule>
  </conditionalFormatting>
  <dataValidations count="1">
    <dataValidation type="list" allowBlank="1" showInputMessage="1" showErrorMessage="1" sqref="C4" xr:uid="{11224067-1F84-4BF0-AEAD-2353DDCAA0EA}">
      <formula1>$C$11:$C$13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46"/>
  <sheetViews>
    <sheetView showGridLines="0" topLeftCell="C1" zoomScaleNormal="100" workbookViewId="0">
      <selection activeCell="L7" sqref="L7"/>
    </sheetView>
  </sheetViews>
  <sheetFormatPr defaultRowHeight="14.5"/>
  <cols>
    <col min="1" max="1" width="2" customWidth="1"/>
    <col min="2" max="2" width="50.81640625" bestFit="1" customWidth="1"/>
    <col min="3" max="9" width="13.6328125" customWidth="1"/>
    <col min="10" max="10" width="12.26953125" bestFit="1" customWidth="1"/>
    <col min="11" max="11" width="9.81640625" bestFit="1" customWidth="1"/>
    <col min="12" max="12" width="18.453125" customWidth="1"/>
    <col min="13" max="16" width="12.6328125" customWidth="1"/>
  </cols>
  <sheetData>
    <row r="1" spans="2:13" ht="11" customHeight="1" thickBot="1">
      <c r="L1" s="7"/>
      <c r="M1" s="7"/>
    </row>
    <row r="2" spans="2:13" ht="36" customHeight="1" thickTop="1">
      <c r="B2" s="292" t="s">
        <v>5</v>
      </c>
      <c r="C2" s="36"/>
      <c r="D2" s="36"/>
      <c r="E2" s="36"/>
      <c r="F2" s="36"/>
      <c r="G2" s="36"/>
      <c r="H2" s="36"/>
      <c r="I2" s="36"/>
    </row>
    <row r="3" spans="2:13" ht="22.5" customHeight="1">
      <c r="B3" s="106"/>
      <c r="C3" s="38"/>
      <c r="D3" s="38"/>
      <c r="E3" s="131" t="s">
        <v>576</v>
      </c>
      <c r="F3" s="131"/>
      <c r="G3" s="131"/>
      <c r="H3" s="131"/>
      <c r="I3" s="131"/>
    </row>
    <row r="4" spans="2:13" ht="15" thickBot="1">
      <c r="B4" s="108" t="s">
        <v>581</v>
      </c>
      <c r="C4" s="369">
        <v>2024</v>
      </c>
      <c r="D4" s="369">
        <v>2025</v>
      </c>
      <c r="E4" s="370">
        <v>2026</v>
      </c>
      <c r="F4" s="370">
        <v>2027</v>
      </c>
      <c r="G4" s="370">
        <v>2028</v>
      </c>
      <c r="H4" s="370">
        <v>2029</v>
      </c>
      <c r="I4" s="370">
        <v>2030</v>
      </c>
    </row>
    <row r="5" spans="2:13" ht="7.5" customHeight="1">
      <c r="B5" s="41"/>
      <c r="C5" s="114"/>
      <c r="D5" s="114"/>
      <c r="E5" s="115"/>
      <c r="F5" s="115"/>
      <c r="G5" s="115"/>
      <c r="H5" s="115"/>
      <c r="I5" s="115"/>
    </row>
    <row r="6" spans="2:13">
      <c r="B6" s="47" t="s">
        <v>6</v>
      </c>
      <c r="C6" s="109">
        <v>2196751</v>
      </c>
      <c r="D6" s="109">
        <v>2508821</v>
      </c>
      <c r="E6" s="54">
        <f>Assumptions!J23*Assumptions!J24</f>
        <v>2727815.7934376136</v>
      </c>
      <c r="F6" s="54">
        <f>Assumptions!K23*Assumptions!K24</f>
        <v>2960316.0567502365</v>
      </c>
      <c r="G6" s="54">
        <f>Assumptions!L23*Assumptions!L24</f>
        <v>3207051.8358583692</v>
      </c>
      <c r="H6" s="54">
        <f>Assumptions!M23*Assumptions!M24</f>
        <v>3468789.9716043519</v>
      </c>
      <c r="I6" s="54">
        <f>Assumptions!N23*Assumptions!N24</f>
        <v>3746335.87527264</v>
      </c>
      <c r="K6">
        <f>I6/D6</f>
        <v>1.4932655120762461</v>
      </c>
      <c r="L6">
        <f>K6^(1/5)</f>
        <v>1.083496236086962</v>
      </c>
    </row>
    <row r="7" spans="2:13">
      <c r="B7" s="61" t="s">
        <v>7</v>
      </c>
      <c r="C7" s="110">
        <f>-1029357+96782</f>
        <v>-932575</v>
      </c>
      <c r="D7" s="110">
        <f>-1143928+106839</f>
        <v>-1037089</v>
      </c>
      <c r="E7" s="60">
        <f>-E6*Assumptions!J27</f>
        <v>-1118404.4753094215</v>
      </c>
      <c r="F7" s="60">
        <f>-F6*Assumptions!K27</f>
        <v>-1213729.583267597</v>
      </c>
      <c r="G7" s="60">
        <f>-G6*Assumptions!L27</f>
        <v>-1314891.2527019314</v>
      </c>
      <c r="H7" s="60">
        <f>-H6*Assumptions!M27</f>
        <v>-1422203.8883577841</v>
      </c>
      <c r="I7" s="60">
        <f>-I6*Assumptions!N27</f>
        <v>-1535997.7088617822</v>
      </c>
    </row>
    <row r="8" spans="2:13" ht="13.5" customHeight="1">
      <c r="B8" s="47" t="s">
        <v>8</v>
      </c>
      <c r="C8" s="109">
        <f t="shared" ref="C8:I8" si="0">C6+C7</f>
        <v>1264176</v>
      </c>
      <c r="D8" s="109">
        <f t="shared" si="0"/>
        <v>1471732</v>
      </c>
      <c r="E8" s="54">
        <f t="shared" si="0"/>
        <v>1609411.3181281921</v>
      </c>
      <c r="F8" s="54">
        <f t="shared" si="0"/>
        <v>1746586.4734826395</v>
      </c>
      <c r="G8" s="54">
        <f t="shared" si="0"/>
        <v>1892160.5831564378</v>
      </c>
      <c r="H8" s="54">
        <f t="shared" si="0"/>
        <v>2046586.0832465678</v>
      </c>
      <c r="I8" s="54">
        <f t="shared" si="0"/>
        <v>2210338.1664108578</v>
      </c>
    </row>
    <row r="9" spans="2:13" ht="5" customHeight="1">
      <c r="B9" s="41"/>
      <c r="C9" s="109"/>
      <c r="D9" s="109"/>
      <c r="E9" s="54"/>
      <c r="F9" s="54"/>
      <c r="G9" s="54"/>
      <c r="H9" s="54"/>
      <c r="I9" s="54"/>
    </row>
    <row r="10" spans="2:13">
      <c r="B10" s="41" t="s">
        <v>10</v>
      </c>
      <c r="C10" s="109">
        <f>-784704+155996</f>
        <v>-628708</v>
      </c>
      <c r="D10" s="109">
        <f>-886102+171299</f>
        <v>-714803</v>
      </c>
      <c r="E10" s="54">
        <f>-E6*Assumptions!J28</f>
        <v>-777427.50112971978</v>
      </c>
      <c r="F10" s="54">
        <f>-F6*Assumptions!K28</f>
        <v>-843690.07617381739</v>
      </c>
      <c r="G10" s="54">
        <f>-G6*Assumptions!L28</f>
        <v>-914009.77321963513</v>
      </c>
      <c r="H10" s="54">
        <f>-H6*Assumptions!M28</f>
        <v>-988605.14190724015</v>
      </c>
      <c r="I10" s="54">
        <f>-I6*Assumptions!N28</f>
        <v>-1067705.7244527023</v>
      </c>
    </row>
    <row r="11" spans="2:13">
      <c r="B11" s="41" t="s">
        <v>11</v>
      </c>
      <c r="C11" s="109">
        <f>-184744+25375</f>
        <v>-159369</v>
      </c>
      <c r="D11" s="109">
        <f>-202562+28928</f>
        <v>-173634</v>
      </c>
      <c r="E11" s="54">
        <f>-E6*Assumptions!J29</f>
        <v>-190947.10554063297</v>
      </c>
      <c r="F11" s="54">
        <f>-F6*Assumptions!K29</f>
        <v>-207222.12397251657</v>
      </c>
      <c r="G11" s="54">
        <f>-G6*Assumptions!L29</f>
        <v>-224493.62851008587</v>
      </c>
      <c r="H11" s="54">
        <f>-H6*Assumptions!M29</f>
        <v>-242815.29801230464</v>
      </c>
      <c r="I11" s="54">
        <f>-I6*Assumptions!N29</f>
        <v>-262243.51126908482</v>
      </c>
    </row>
    <row r="12" spans="2:13">
      <c r="B12" s="41" t="s">
        <v>14</v>
      </c>
      <c r="C12" s="109">
        <v>7461</v>
      </c>
      <c r="D12" s="109">
        <v>13361</v>
      </c>
      <c r="E12" s="54">
        <f>-E105</f>
        <v>-2983</v>
      </c>
      <c r="F12" s="54">
        <f>-F105</f>
        <v>-2983</v>
      </c>
      <c r="G12" s="54">
        <f>-G105</f>
        <v>-2983</v>
      </c>
      <c r="H12" s="54">
        <f>-H105</f>
        <v>-2983</v>
      </c>
      <c r="I12" s="54">
        <f>-I105</f>
        <v>-2983</v>
      </c>
      <c r="J12" s="45" t="s">
        <v>520</v>
      </c>
    </row>
    <row r="13" spans="2:13">
      <c r="B13" s="61" t="s">
        <v>15</v>
      </c>
      <c r="C13" s="110">
        <v>125</v>
      </c>
      <c r="D13" s="110">
        <v>-1052</v>
      </c>
      <c r="E13" s="60">
        <v>0</v>
      </c>
      <c r="F13" s="60">
        <v>0</v>
      </c>
      <c r="G13" s="60">
        <v>0</v>
      </c>
      <c r="H13" s="60">
        <v>0</v>
      </c>
      <c r="I13" s="60">
        <v>0</v>
      </c>
    </row>
    <row r="14" spans="2:13">
      <c r="B14" s="47" t="s">
        <v>9</v>
      </c>
      <c r="C14" s="109">
        <f t="shared" ref="C14:I14" si="1">C8+C10+C11+C12+C13</f>
        <v>483685</v>
      </c>
      <c r="D14" s="109">
        <f t="shared" si="1"/>
        <v>595604</v>
      </c>
      <c r="E14" s="109">
        <f t="shared" si="1"/>
        <v>638053.71145783935</v>
      </c>
      <c r="F14" s="109">
        <f t="shared" si="1"/>
        <v>692691.27333630552</v>
      </c>
      <c r="G14" s="109">
        <f t="shared" si="1"/>
        <v>750674.18142671685</v>
      </c>
      <c r="H14" s="109">
        <f t="shared" si="1"/>
        <v>812182.6433270229</v>
      </c>
      <c r="I14" s="109">
        <f t="shared" si="1"/>
        <v>877405.93068907061</v>
      </c>
    </row>
    <row r="15" spans="2:13" ht="5" customHeight="1">
      <c r="B15" s="41"/>
      <c r="C15" s="109"/>
      <c r="E15" s="54"/>
      <c r="F15" s="54"/>
      <c r="G15" s="54"/>
      <c r="H15" s="54"/>
      <c r="I15" s="54"/>
    </row>
    <row r="16" spans="2:13">
      <c r="B16" s="41" t="s">
        <v>12</v>
      </c>
      <c r="C16" s="109">
        <v>-278153</v>
      </c>
      <c r="D16" s="109">
        <v>-307066</v>
      </c>
      <c r="E16" s="54">
        <f>E17+E18</f>
        <v>-321555.06444444443</v>
      </c>
      <c r="F16" s="54">
        <f>F17+F18</f>
        <v>-331130.60194275266</v>
      </c>
      <c r="G16" s="54">
        <f>G17+G18</f>
        <v>-348295.36798733636</v>
      </c>
      <c r="H16" s="54">
        <f>H17+H18</f>
        <v>-363425.06925147714</v>
      </c>
      <c r="I16" s="54">
        <f>I17+I18</f>
        <v>-377536.95578843146</v>
      </c>
    </row>
    <row r="17" spans="2:12">
      <c r="B17" s="41" t="s">
        <v>86</v>
      </c>
      <c r="C17" s="109">
        <f>C160+C196-195</f>
        <v>-94343</v>
      </c>
      <c r="D17" s="109">
        <f>D160+D196-167</f>
        <v>-101500</v>
      </c>
      <c r="E17" s="54">
        <f>E160+E196+E203</f>
        <v>-101659.14444444445</v>
      </c>
      <c r="F17" s="54">
        <f>F160+F196+F203</f>
        <v>-110181.65314275264</v>
      </c>
      <c r="G17" s="54">
        <f>G160+G196+G203</f>
        <v>-119472.48075533634</v>
      </c>
      <c r="H17" s="54">
        <f>H160+H196+H203</f>
        <v>-129562.8614229971</v>
      </c>
      <c r="I17" s="54">
        <f>I160+I196+I203</f>
        <v>-140449.58277820429</v>
      </c>
    </row>
    <row r="18" spans="2:12">
      <c r="B18" s="61" t="s">
        <v>87</v>
      </c>
      <c r="C18" s="110">
        <f t="shared" ref="C18:I18" si="2">C$171</f>
        <v>-183810</v>
      </c>
      <c r="D18" s="110">
        <f t="shared" si="2"/>
        <v>-205566</v>
      </c>
      <c r="E18" s="60">
        <f t="shared" si="2"/>
        <v>-219895.91999999998</v>
      </c>
      <c r="F18" s="60">
        <f t="shared" si="2"/>
        <v>-220948.94880000001</v>
      </c>
      <c r="G18" s="60">
        <f t="shared" si="2"/>
        <v>-228822.88723200001</v>
      </c>
      <c r="H18" s="60">
        <f t="shared" si="2"/>
        <v>-233862.20782848002</v>
      </c>
      <c r="I18" s="60">
        <f t="shared" si="2"/>
        <v>-237087.37301022719</v>
      </c>
    </row>
    <row r="19" spans="2:12">
      <c r="B19" s="47" t="s">
        <v>13</v>
      </c>
      <c r="C19" s="109">
        <f t="shared" ref="C19:I19" si="3">C14+C16</f>
        <v>205532</v>
      </c>
      <c r="D19" s="109">
        <f t="shared" si="3"/>
        <v>288538</v>
      </c>
      <c r="E19" s="54">
        <f t="shared" si="3"/>
        <v>316498.64701339492</v>
      </c>
      <c r="F19" s="54">
        <f t="shared" si="3"/>
        <v>361560.67139355285</v>
      </c>
      <c r="G19" s="54">
        <f t="shared" si="3"/>
        <v>402378.81343938049</v>
      </c>
      <c r="H19" s="54">
        <f t="shared" si="3"/>
        <v>448757.57407554577</v>
      </c>
      <c r="I19" s="54">
        <f t="shared" si="3"/>
        <v>499868.97490063915</v>
      </c>
      <c r="L19" s="7"/>
    </row>
    <row r="20" spans="2:12" ht="5" customHeight="1">
      <c r="B20" s="41"/>
      <c r="C20" s="109"/>
      <c r="D20" s="109"/>
      <c r="E20" s="54"/>
      <c r="F20" s="54"/>
      <c r="G20" s="54"/>
      <c r="H20" s="54"/>
      <c r="I20" s="54"/>
    </row>
    <row r="21" spans="2:12">
      <c r="B21" s="61" t="s">
        <v>16</v>
      </c>
      <c r="C21" s="110">
        <f>-12631-1093</f>
        <v>-13724</v>
      </c>
      <c r="D21" s="110">
        <f>-5559-251</f>
        <v>-5810</v>
      </c>
      <c r="E21" s="88">
        <v>0</v>
      </c>
      <c r="F21" s="88">
        <v>0</v>
      </c>
      <c r="G21" s="88">
        <v>0</v>
      </c>
      <c r="H21" s="88">
        <v>0</v>
      </c>
      <c r="I21" s="88">
        <v>0</v>
      </c>
    </row>
    <row r="22" spans="2:12">
      <c r="B22" s="47" t="s">
        <v>17</v>
      </c>
      <c r="C22" s="109">
        <f t="shared" ref="C22:I22" si="4">SUM(C19:C21)</f>
        <v>191808</v>
      </c>
      <c r="D22" s="109">
        <f t="shared" si="4"/>
        <v>282728</v>
      </c>
      <c r="E22" s="54">
        <f t="shared" si="4"/>
        <v>316498.64701339492</v>
      </c>
      <c r="F22" s="54">
        <f t="shared" si="4"/>
        <v>361560.67139355285</v>
      </c>
      <c r="G22" s="54">
        <f t="shared" si="4"/>
        <v>402378.81343938049</v>
      </c>
      <c r="H22" s="54">
        <f t="shared" si="4"/>
        <v>448757.57407554577</v>
      </c>
      <c r="I22" s="54">
        <f t="shared" si="4"/>
        <v>499868.97490063915</v>
      </c>
    </row>
    <row r="23" spans="2:12" ht="5" customHeight="1">
      <c r="B23" s="41"/>
      <c r="C23" s="109"/>
      <c r="D23" s="109"/>
      <c r="E23" s="54"/>
      <c r="F23" s="54"/>
      <c r="G23" s="54"/>
      <c r="H23" s="54"/>
      <c r="I23" s="54"/>
    </row>
    <row r="24" spans="2:12">
      <c r="B24" s="41" t="s">
        <v>105</v>
      </c>
      <c r="C24" s="109">
        <v>16116</v>
      </c>
      <c r="D24" s="109">
        <v>15508</v>
      </c>
      <c r="E24" s="54">
        <f>Assumptions!J33</f>
        <v>0</v>
      </c>
      <c r="F24" s="54">
        <f>Assumptions!K33</f>
        <v>0</v>
      </c>
      <c r="G24" s="54">
        <f>Assumptions!L33</f>
        <v>0</v>
      </c>
      <c r="H24" s="54">
        <f>Assumptions!M33</f>
        <v>0</v>
      </c>
      <c r="I24" s="54">
        <f>Assumptions!N33</f>
        <v>0</v>
      </c>
    </row>
    <row r="25" spans="2:12">
      <c r="B25" s="41" t="s">
        <v>106</v>
      </c>
      <c r="C25" s="109">
        <v>-35793</v>
      </c>
      <c r="D25" s="109">
        <v>-44135</v>
      </c>
      <c r="E25" s="54">
        <f>E26+E27</f>
        <v>-43476.447349999995</v>
      </c>
      <c r="F25" s="54">
        <f>F26+F27</f>
        <v>-44139.93525445</v>
      </c>
      <c r="G25" s="54">
        <f>G26+G27</f>
        <v>-45241.623567457209</v>
      </c>
      <c r="H25" s="54">
        <f>H26+H27</f>
        <v>-45999.431581512756</v>
      </c>
      <c r="I25" s="54">
        <f>I26+I27</f>
        <v>-46535.047969727886</v>
      </c>
    </row>
    <row r="26" spans="2:12">
      <c r="B26" s="41" t="s">
        <v>108</v>
      </c>
      <c r="C26" s="109">
        <f>-3326-148</f>
        <v>-3474</v>
      </c>
      <c r="D26" s="109">
        <f>-3226-42</f>
        <v>-3268</v>
      </c>
      <c r="E26" s="54">
        <f>-(Assumptions!J36+'3- Statement Model'!E231)</f>
        <v>-3359.9404999999997</v>
      </c>
      <c r="F26" s="54">
        <f>-(Assumptions!K36+'3- Statement Model'!F231)</f>
        <v>-3465.7828019499993</v>
      </c>
      <c r="G26" s="54">
        <f>-(Assumptions!L36+'3- Statement Model'!G231)</f>
        <v>-3575.0014733322041</v>
      </c>
      <c r="H26" s="54">
        <f>-(Assumptions!M36+'3- Statement Model'!H231)</f>
        <v>-3687.7042203315018</v>
      </c>
      <c r="I26" s="54">
        <f>-(Assumptions!N36+'3- Statement Model'!I231)</f>
        <v>-3804.0021849600766</v>
      </c>
    </row>
    <row r="27" spans="2:12">
      <c r="B27" s="61" t="s">
        <v>107</v>
      </c>
      <c r="C27" s="110">
        <v>-32319</v>
      </c>
      <c r="D27" s="110">
        <v>-40867</v>
      </c>
      <c r="E27" s="60">
        <f>-((E180+E185)/2)*Assumptions!J35</f>
        <v>-40116.506849999998</v>
      </c>
      <c r="F27" s="60">
        <f>-((F180+F185)/2)*Assumptions!K35</f>
        <v>-40674.152452499999</v>
      </c>
      <c r="G27" s="60">
        <f>-((G180+G185)/2)*Assumptions!L35</f>
        <v>-41666.622094125007</v>
      </c>
      <c r="H27" s="60">
        <f>-((H180+H185)/2)*Assumptions!M35</f>
        <v>-42311.727361181256</v>
      </c>
      <c r="I27" s="60">
        <f>-((I180+I185)/2)*Assumptions!N35</f>
        <v>-42731.045784767812</v>
      </c>
    </row>
    <row r="28" spans="2:12">
      <c r="B28" s="47" t="s">
        <v>18</v>
      </c>
      <c r="C28" s="109">
        <f>C22+C24+C25</f>
        <v>172131</v>
      </c>
      <c r="D28" s="109">
        <f t="shared" ref="D28:I28" si="5">D22+D24+D25</f>
        <v>254101</v>
      </c>
      <c r="E28" s="54">
        <f>E22+E24+E25</f>
        <v>273022.19966339495</v>
      </c>
      <c r="F28" s="54">
        <f t="shared" si="5"/>
        <v>317420.73613910284</v>
      </c>
      <c r="G28" s="54">
        <f t="shared" si="5"/>
        <v>357137.1898719233</v>
      </c>
      <c r="H28" s="54">
        <f t="shared" si="5"/>
        <v>402758.14249403303</v>
      </c>
      <c r="I28" s="54">
        <f t="shared" si="5"/>
        <v>453333.92693091126</v>
      </c>
    </row>
    <row r="29" spans="2:12" ht="5" customHeight="1">
      <c r="B29" s="41"/>
      <c r="C29" s="109"/>
      <c r="D29" s="109"/>
      <c r="E29" s="54"/>
      <c r="F29" s="54"/>
      <c r="G29" s="54"/>
      <c r="H29" s="54"/>
      <c r="I29" s="54"/>
    </row>
    <row r="30" spans="2:12">
      <c r="B30" s="61" t="s">
        <v>19</v>
      </c>
      <c r="C30" s="110">
        <v>-20727</v>
      </c>
      <c r="D30" s="110">
        <v>-35651</v>
      </c>
      <c r="E30" s="60">
        <f>-E28*Assumptions!J38</f>
        <v>-43683.55194614319</v>
      </c>
      <c r="F30" s="60">
        <f>-F28*Assumptions!K38</f>
        <v>-50787.317782256454</v>
      </c>
      <c r="G30" s="60">
        <f>-G28*Assumptions!L38</f>
        <v>-57141.950379507733</v>
      </c>
      <c r="H30" s="60">
        <f>-H28*Assumptions!M38</f>
        <v>-64441.30279904529</v>
      </c>
      <c r="I30" s="60">
        <f>-I28*Assumptions!N38</f>
        <v>-72533.428308945804</v>
      </c>
    </row>
    <row r="31" spans="2:12" ht="15" thickBot="1">
      <c r="B31" s="111" t="s">
        <v>20</v>
      </c>
      <c r="C31" s="112">
        <f t="shared" ref="C31:I31" si="6">C28+C30</f>
        <v>151404</v>
      </c>
      <c r="D31" s="112">
        <f t="shared" si="6"/>
        <v>218450</v>
      </c>
      <c r="E31" s="113">
        <f t="shared" si="6"/>
        <v>229338.64771725176</v>
      </c>
      <c r="F31" s="113">
        <f t="shared" si="6"/>
        <v>266633.41835684638</v>
      </c>
      <c r="G31" s="113">
        <f t="shared" si="6"/>
        <v>299995.23949241557</v>
      </c>
      <c r="H31" s="113">
        <f t="shared" si="6"/>
        <v>338316.83969498775</v>
      </c>
      <c r="I31" s="113">
        <f t="shared" si="6"/>
        <v>380800.49862196547</v>
      </c>
    </row>
    <row r="32" spans="2:12" ht="15" thickTop="1">
      <c r="B32" s="47"/>
      <c r="C32" s="379">
        <f>C31/C6</f>
        <v>6.8921784945130335E-2</v>
      </c>
      <c r="D32" s="379">
        <f t="shared" ref="D32:I32" si="7">D31/D6</f>
        <v>8.7072772429758832E-2</v>
      </c>
      <c r="E32" s="379">
        <f t="shared" si="7"/>
        <v>8.4074096304075391E-2</v>
      </c>
      <c r="F32" s="379">
        <f t="shared" si="7"/>
        <v>9.0069240326166422E-2</v>
      </c>
      <c r="G32" s="379">
        <f t="shared" si="7"/>
        <v>9.3542373134770887E-2</v>
      </c>
      <c r="H32" s="379">
        <f t="shared" si="7"/>
        <v>9.7531658723780459E-2</v>
      </c>
      <c r="I32" s="379">
        <f t="shared" si="7"/>
        <v>0.10164611804707785</v>
      </c>
    </row>
    <row r="33" spans="2:10" ht="15" thickBot="1"/>
    <row r="34" spans="2:10" ht="36.5" customHeight="1" thickTop="1">
      <c r="B34" s="292" t="s">
        <v>27</v>
      </c>
      <c r="C34" s="36"/>
      <c r="D34" s="36"/>
      <c r="E34" s="36"/>
      <c r="F34" s="36"/>
      <c r="G34" s="36"/>
      <c r="H34" s="36"/>
      <c r="I34" s="36"/>
    </row>
    <row r="35" spans="2:10" ht="20.5">
      <c r="C35" s="38"/>
      <c r="D35" s="38"/>
      <c r="E35" s="131" t="s">
        <v>576</v>
      </c>
      <c r="F35" s="131"/>
      <c r="G35" s="131"/>
      <c r="H35" s="131"/>
      <c r="I35" s="131"/>
      <c r="J35" s="41"/>
    </row>
    <row r="36" spans="2:10" ht="15" thickBot="1">
      <c r="B36" s="108" t="s">
        <v>581</v>
      </c>
      <c r="C36" s="371">
        <f t="shared" ref="C36:I36" si="8">C$4</f>
        <v>2024</v>
      </c>
      <c r="D36" s="371">
        <f t="shared" si="8"/>
        <v>2025</v>
      </c>
      <c r="E36" s="372">
        <f t="shared" si="8"/>
        <v>2026</v>
      </c>
      <c r="F36" s="372">
        <f t="shared" si="8"/>
        <v>2027</v>
      </c>
      <c r="G36" s="372">
        <f t="shared" si="8"/>
        <v>2028</v>
      </c>
      <c r="H36" s="372">
        <f t="shared" si="8"/>
        <v>2029</v>
      </c>
      <c r="I36" s="372">
        <f t="shared" si="8"/>
        <v>2030</v>
      </c>
      <c r="J36" s="41"/>
    </row>
    <row r="37" spans="2:10" ht="5.5" customHeight="1">
      <c r="B37" s="41"/>
      <c r="C37" s="41"/>
      <c r="D37" s="41"/>
      <c r="E37" s="41"/>
      <c r="F37" s="41"/>
      <c r="G37" s="41"/>
      <c r="H37" s="41"/>
      <c r="I37" s="41"/>
      <c r="J37" s="41"/>
    </row>
    <row r="38" spans="2:10" ht="15.5">
      <c r="B38" s="293" t="s">
        <v>29</v>
      </c>
      <c r="C38" s="127"/>
      <c r="D38" s="127"/>
      <c r="E38" s="127"/>
      <c r="F38" s="127"/>
      <c r="G38" s="127"/>
      <c r="H38" s="127"/>
      <c r="I38" s="128"/>
      <c r="J38" s="41"/>
    </row>
    <row r="39" spans="2:10" ht="8.5" customHeight="1">
      <c r="B39" s="47"/>
      <c r="C39" s="41"/>
      <c r="D39" s="41"/>
      <c r="E39" s="41"/>
      <c r="F39" s="41"/>
      <c r="G39" s="41"/>
      <c r="H39" s="41"/>
      <c r="I39" s="41"/>
      <c r="J39" s="41"/>
    </row>
    <row r="40" spans="2:10">
      <c r="B40" s="41" t="s">
        <v>28</v>
      </c>
      <c r="C40" s="41"/>
      <c r="D40" s="41"/>
      <c r="E40" s="116"/>
      <c r="F40" s="41"/>
      <c r="G40" s="41"/>
      <c r="H40" s="41"/>
      <c r="I40" s="41"/>
      <c r="J40" s="41"/>
    </row>
    <row r="41" spans="2:10">
      <c r="B41" s="48" t="s">
        <v>31</v>
      </c>
      <c r="C41" s="54">
        <v>328761</v>
      </c>
      <c r="D41" s="54">
        <v>341405</v>
      </c>
      <c r="E41" s="54">
        <f>E163</f>
        <v>372700.41070469265</v>
      </c>
      <c r="F41" s="54">
        <f>F163</f>
        <v>406321.5264752332</v>
      </c>
      <c r="G41" s="54">
        <f>G163</f>
        <v>442304.26220529911</v>
      </c>
      <c r="H41" s="54">
        <f>H163</f>
        <v>480709.70275411714</v>
      </c>
      <c r="I41" s="54">
        <f>I163</f>
        <v>521619.29442531546</v>
      </c>
      <c r="J41" s="41"/>
    </row>
    <row r="42" spans="2:10">
      <c r="B42" s="48" t="s">
        <v>30</v>
      </c>
      <c r="C42" s="54">
        <v>566054</v>
      </c>
      <c r="D42" s="54">
        <v>610822</v>
      </c>
      <c r="E42" s="54">
        <f>E174</f>
        <v>613747.08000000007</v>
      </c>
      <c r="F42" s="54">
        <f>F174</f>
        <v>635619.13120000006</v>
      </c>
      <c r="G42" s="54">
        <f>G174</f>
        <v>649617.24396800005</v>
      </c>
      <c r="H42" s="54">
        <f>H174</f>
        <v>658576.03613952</v>
      </c>
      <c r="I42" s="54">
        <f>I174</f>
        <v>664309.66312929278</v>
      </c>
      <c r="J42" s="41"/>
    </row>
    <row r="43" spans="2:10">
      <c r="B43" s="48" t="s">
        <v>63</v>
      </c>
      <c r="C43" s="54">
        <v>3356</v>
      </c>
      <c r="D43" s="54">
        <v>3712</v>
      </c>
      <c r="E43" s="54">
        <f>Assumptions!J77</f>
        <v>3712</v>
      </c>
      <c r="F43" s="54">
        <f>Assumptions!K77</f>
        <v>3712</v>
      </c>
      <c r="G43" s="54">
        <f>Assumptions!L77</f>
        <v>3712</v>
      </c>
      <c r="H43" s="54">
        <f>Assumptions!M77</f>
        <v>3712</v>
      </c>
      <c r="I43" s="54">
        <f>Assumptions!N77</f>
        <v>3712</v>
      </c>
      <c r="J43" s="41"/>
    </row>
    <row r="44" spans="2:10">
      <c r="B44" s="48" t="s">
        <v>32</v>
      </c>
      <c r="C44" s="54">
        <v>59201</v>
      </c>
      <c r="D44" s="54">
        <v>63312</v>
      </c>
      <c r="E44" s="54">
        <f>E206</f>
        <v>85623.050316181238</v>
      </c>
      <c r="F44" s="54">
        <f>F206</f>
        <v>88113.400297150103</v>
      </c>
      <c r="G44" s="54">
        <f>G206</f>
        <v>91534.827440524619</v>
      </c>
      <c r="H44" s="54">
        <f>H206</f>
        <v>95791.814020531412</v>
      </c>
      <c r="I44" s="54">
        <f>I206</f>
        <v>100812.76921003341</v>
      </c>
      <c r="J44" s="41"/>
    </row>
    <row r="45" spans="2:10">
      <c r="B45" s="48" t="s">
        <v>33</v>
      </c>
      <c r="C45" s="54">
        <v>7498</v>
      </c>
      <c r="D45" s="54">
        <v>10784</v>
      </c>
      <c r="E45" s="54">
        <f>E223</f>
        <v>7500</v>
      </c>
      <c r="F45" s="54">
        <f>F223</f>
        <v>7500</v>
      </c>
      <c r="G45" s="54">
        <f>G223</f>
        <v>7500</v>
      </c>
      <c r="H45" s="54">
        <f>H223</f>
        <v>7500</v>
      </c>
      <c r="I45" s="54">
        <f>I223</f>
        <v>7500</v>
      </c>
      <c r="J45" s="41"/>
    </row>
    <row r="46" spans="2:10">
      <c r="B46" s="48" t="s">
        <v>34</v>
      </c>
      <c r="C46" s="54">
        <v>0</v>
      </c>
      <c r="D46" s="54">
        <v>117838</v>
      </c>
      <c r="E46" s="55">
        <v>0</v>
      </c>
      <c r="F46" s="55">
        <v>0</v>
      </c>
      <c r="G46" s="55">
        <v>0</v>
      </c>
      <c r="H46" s="55">
        <v>0</v>
      </c>
      <c r="I46" s="55">
        <v>0</v>
      </c>
      <c r="J46" s="45" t="s">
        <v>521</v>
      </c>
    </row>
    <row r="47" spans="2:10">
      <c r="B47" s="62" t="s">
        <v>35</v>
      </c>
      <c r="C47" s="60">
        <v>2280</v>
      </c>
      <c r="D47" s="60">
        <v>3594</v>
      </c>
      <c r="E47" s="60">
        <f>Assumptions!J89</f>
        <v>3594</v>
      </c>
      <c r="F47" s="60">
        <f>Assumptions!K89</f>
        <v>3594</v>
      </c>
      <c r="G47" s="60">
        <f>Assumptions!L89</f>
        <v>3594</v>
      </c>
      <c r="H47" s="60">
        <f>Assumptions!M89</f>
        <v>3594</v>
      </c>
      <c r="I47" s="60">
        <f>Assumptions!N89</f>
        <v>3594</v>
      </c>
      <c r="J47" s="45"/>
    </row>
    <row r="48" spans="2:10">
      <c r="B48" s="47" t="s">
        <v>28</v>
      </c>
      <c r="C48" s="54">
        <f t="shared" ref="C48:I48" si="9">SUM(C41:C47)</f>
        <v>967150</v>
      </c>
      <c r="D48" s="54">
        <f t="shared" si="9"/>
        <v>1151467</v>
      </c>
      <c r="E48" s="54">
        <f t="shared" si="9"/>
        <v>1086876.5410208739</v>
      </c>
      <c r="F48" s="54">
        <f t="shared" si="9"/>
        <v>1144860.0579723832</v>
      </c>
      <c r="G48" s="54">
        <f t="shared" si="9"/>
        <v>1198262.3336138239</v>
      </c>
      <c r="H48" s="54">
        <f t="shared" si="9"/>
        <v>1249883.5529141687</v>
      </c>
      <c r="I48" s="54">
        <f t="shared" si="9"/>
        <v>1301547.7267646415</v>
      </c>
      <c r="J48" s="45"/>
    </row>
    <row r="49" spans="2:10">
      <c r="B49" s="41"/>
      <c r="C49" s="54"/>
      <c r="D49" s="54"/>
      <c r="E49" s="54"/>
      <c r="F49" s="54"/>
      <c r="G49" s="54"/>
      <c r="H49" s="54"/>
      <c r="I49" s="54"/>
      <c r="J49" s="45"/>
    </row>
    <row r="50" spans="2:10">
      <c r="B50" s="41" t="s">
        <v>36</v>
      </c>
      <c r="C50" s="54"/>
      <c r="D50" s="54"/>
      <c r="E50" s="54"/>
      <c r="F50" s="54"/>
      <c r="G50" s="54"/>
      <c r="H50" s="54"/>
      <c r="I50" s="54"/>
      <c r="J50" s="45"/>
    </row>
    <row r="51" spans="2:10">
      <c r="B51" s="48" t="s">
        <v>37</v>
      </c>
      <c r="C51" s="54">
        <v>134399</v>
      </c>
      <c r="D51" s="54">
        <v>155080</v>
      </c>
      <c r="E51" s="54">
        <f>-E7*Assumptions!J43/365</f>
        <v>165462.57990879111</v>
      </c>
      <c r="F51" s="54">
        <f>-F7*Assumptions!K43/365</f>
        <v>179565.47259301436</v>
      </c>
      <c r="G51" s="54">
        <f>-G7*Assumptions!L43/365</f>
        <v>194531.85656412138</v>
      </c>
      <c r="H51" s="54">
        <f>-H7*Assumptions!M43/365</f>
        <v>210408.24649676806</v>
      </c>
      <c r="I51" s="54">
        <f>-I7*Assumptions!N43/365</f>
        <v>227243.49665352397</v>
      </c>
      <c r="J51" s="45"/>
    </row>
    <row r="52" spans="2:10">
      <c r="B52" s="48" t="s">
        <v>269</v>
      </c>
      <c r="C52" s="54">
        <v>110421</v>
      </c>
      <c r="D52" s="54">
        <v>128007</v>
      </c>
      <c r="E52" s="54">
        <f>E224</f>
        <v>139562.14111638744</v>
      </c>
      <c r="F52" s="54">
        <f>F224</f>
        <v>149222.0493167598</v>
      </c>
      <c r="G52" s="54">
        <f>G224</f>
        <v>159473.41394737581</v>
      </c>
      <c r="H52" s="54">
        <f>H224</f>
        <v>170348.09566953423</v>
      </c>
      <c r="I52" s="54">
        <f>I224</f>
        <v>181879.55766714955</v>
      </c>
      <c r="J52" s="45"/>
    </row>
    <row r="53" spans="2:10">
      <c r="B53" s="48" t="s">
        <v>38</v>
      </c>
      <c r="C53" s="54">
        <v>265</v>
      </c>
      <c r="D53" s="54">
        <v>0</v>
      </c>
      <c r="E53" s="55">
        <v>0</v>
      </c>
      <c r="F53" s="55">
        <v>0</v>
      </c>
      <c r="G53" s="55">
        <v>0</v>
      </c>
      <c r="H53" s="55">
        <v>0</v>
      </c>
      <c r="I53" s="55">
        <v>0</v>
      </c>
      <c r="J53" s="45"/>
    </row>
    <row r="54" spans="2:10">
      <c r="B54" s="48" t="s">
        <v>39</v>
      </c>
      <c r="C54" s="54">
        <v>213695</v>
      </c>
      <c r="D54" s="54">
        <v>145235</v>
      </c>
      <c r="E54" s="55">
        <v>0</v>
      </c>
      <c r="F54" s="55">
        <v>0</v>
      </c>
      <c r="G54" s="55">
        <v>0</v>
      </c>
      <c r="H54" s="55">
        <v>0</v>
      </c>
      <c r="I54" s="55">
        <v>0</v>
      </c>
      <c r="J54" s="45" t="s">
        <v>522</v>
      </c>
    </row>
    <row r="55" spans="2:10">
      <c r="B55" s="62" t="s">
        <v>40</v>
      </c>
      <c r="C55" s="60">
        <v>81470</v>
      </c>
      <c r="D55" s="60">
        <v>154337</v>
      </c>
      <c r="E55" s="60">
        <f>E153</f>
        <v>278427.69664731447</v>
      </c>
      <c r="F55" s="60">
        <f>F153</f>
        <v>528099.9875953102</v>
      </c>
      <c r="G55" s="60">
        <f>G153</f>
        <v>810306.30704426952</v>
      </c>
      <c r="H55" s="60">
        <f>H153</f>
        <v>1129612.4133765823</v>
      </c>
      <c r="I55" s="60">
        <f>I153</f>
        <v>1489947.1416691164</v>
      </c>
      <c r="J55" s="45"/>
    </row>
    <row r="56" spans="2:10">
      <c r="B56" s="47" t="s">
        <v>36</v>
      </c>
      <c r="C56" s="54">
        <f t="shared" ref="C56:I56" si="10">SUM(C51:C52,C53:C55)</f>
        <v>540250</v>
      </c>
      <c r="D56" s="54">
        <f t="shared" si="10"/>
        <v>582659</v>
      </c>
      <c r="E56" s="54">
        <f t="shared" si="10"/>
        <v>583452.41767249303</v>
      </c>
      <c r="F56" s="54">
        <f t="shared" si="10"/>
        <v>856887.50950508437</v>
      </c>
      <c r="G56" s="54">
        <f t="shared" si="10"/>
        <v>1164311.5775557668</v>
      </c>
      <c r="H56" s="54">
        <f t="shared" si="10"/>
        <v>1510368.7555428846</v>
      </c>
      <c r="I56" s="54">
        <f t="shared" si="10"/>
        <v>1899070.1959897899</v>
      </c>
      <c r="J56" s="41"/>
    </row>
    <row r="57" spans="2:10">
      <c r="B57" s="98"/>
      <c r="C57" s="97"/>
      <c r="D57" s="97"/>
      <c r="E57" s="97"/>
      <c r="F57" s="97"/>
      <c r="G57" s="97"/>
      <c r="H57" s="97"/>
      <c r="I57" s="97"/>
      <c r="J57" s="41"/>
    </row>
    <row r="58" spans="2:10" ht="15" thickBot="1">
      <c r="B58" s="121" t="s">
        <v>41</v>
      </c>
      <c r="C58" s="122">
        <f t="shared" ref="C58:I58" si="11">C48+C56</f>
        <v>1507400</v>
      </c>
      <c r="D58" s="122">
        <f t="shared" si="11"/>
        <v>1734126</v>
      </c>
      <c r="E58" s="122">
        <f t="shared" si="11"/>
        <v>1670328.958693367</v>
      </c>
      <c r="F58" s="122">
        <f t="shared" si="11"/>
        <v>2001747.5674774675</v>
      </c>
      <c r="G58" s="122">
        <f t="shared" si="11"/>
        <v>2362573.9111695904</v>
      </c>
      <c r="H58" s="122">
        <f t="shared" si="11"/>
        <v>2760252.3084570533</v>
      </c>
      <c r="I58" s="122">
        <f t="shared" si="11"/>
        <v>3200617.9227544311</v>
      </c>
      <c r="J58" s="41"/>
    </row>
    <row r="59" spans="2:10" ht="15" thickTop="1">
      <c r="B59" s="41"/>
      <c r="C59" s="54"/>
      <c r="D59" s="54"/>
      <c r="E59" s="54"/>
      <c r="F59" s="54"/>
      <c r="G59" s="54"/>
      <c r="H59" s="54"/>
      <c r="I59" s="54"/>
      <c r="J59" s="41"/>
    </row>
    <row r="60" spans="2:10" ht="15.5">
      <c r="B60" s="293" t="s">
        <v>42</v>
      </c>
      <c r="C60" s="127"/>
      <c r="D60" s="127"/>
      <c r="E60" s="127"/>
      <c r="F60" s="127"/>
      <c r="G60" s="127"/>
      <c r="H60" s="127"/>
      <c r="I60" s="128"/>
      <c r="J60" s="41"/>
    </row>
    <row r="61" spans="2:10" ht="8" customHeight="1">
      <c r="B61" s="41"/>
      <c r="C61" s="54"/>
      <c r="D61" s="54"/>
      <c r="E61" s="54"/>
      <c r="F61" s="54"/>
      <c r="G61" s="54"/>
      <c r="H61" s="54"/>
      <c r="I61" s="54"/>
      <c r="J61" s="41"/>
    </row>
    <row r="62" spans="2:10">
      <c r="B62" s="41" t="s">
        <v>43</v>
      </c>
      <c r="C62" s="54"/>
      <c r="D62" s="54"/>
      <c r="E62" s="54"/>
      <c r="F62" s="54"/>
      <c r="G62" s="54"/>
      <c r="H62" s="54"/>
      <c r="I62" s="54"/>
      <c r="J62" s="41"/>
    </row>
    <row r="63" spans="2:10">
      <c r="B63" s="48" t="s">
        <v>44</v>
      </c>
      <c r="C63" s="54">
        <v>389241</v>
      </c>
      <c r="D63" s="54">
        <v>429297</v>
      </c>
      <c r="E63" s="54">
        <f>E188</f>
        <v>426169.51300000004</v>
      </c>
      <c r="F63" s="54">
        <f>F188</f>
        <v>438963.25345000002</v>
      </c>
      <c r="G63" s="54">
        <f>G188</f>
        <v>447279.18474250007</v>
      </c>
      <c r="H63" s="54">
        <f>H188</f>
        <v>452684.540082625</v>
      </c>
      <c r="I63" s="54">
        <f>I188</f>
        <v>456198.02105370618</v>
      </c>
      <c r="J63" s="41"/>
    </row>
    <row r="64" spans="2:10">
      <c r="B64" s="48" t="s">
        <v>45</v>
      </c>
      <c r="C64" s="54">
        <v>68375</v>
      </c>
      <c r="D64" s="54">
        <v>70745</v>
      </c>
      <c r="E64" s="54">
        <f>E235</f>
        <v>73001.765499999994</v>
      </c>
      <c r="F64" s="54">
        <f>F235</f>
        <v>75330.52181944999</v>
      </c>
      <c r="G64" s="54">
        <f>G235</f>
        <v>77733.56546549045</v>
      </c>
      <c r="H64" s="54">
        <f>H235</f>
        <v>80213.266203839594</v>
      </c>
      <c r="I64" s="54">
        <f>I235</f>
        <v>82772.069395742088</v>
      </c>
      <c r="J64" s="41"/>
    </row>
    <row r="65" spans="2:10">
      <c r="B65" s="48" t="s">
        <v>46</v>
      </c>
      <c r="C65" s="54">
        <v>19760</v>
      </c>
      <c r="D65" s="54">
        <v>2729</v>
      </c>
      <c r="E65" s="54">
        <f>Assumptions!J59</f>
        <v>2729</v>
      </c>
      <c r="F65" s="54">
        <f>Assumptions!K59</f>
        <v>2729</v>
      </c>
      <c r="G65" s="54">
        <f>Assumptions!L59</f>
        <v>2729</v>
      </c>
      <c r="H65" s="54">
        <f>Assumptions!M59</f>
        <v>2729</v>
      </c>
      <c r="I65" s="54">
        <f>Assumptions!N59</f>
        <v>2729</v>
      </c>
      <c r="J65" s="116"/>
    </row>
    <row r="66" spans="2:10">
      <c r="B66" s="62" t="s">
        <v>47</v>
      </c>
      <c r="C66" s="60">
        <v>2015</v>
      </c>
      <c r="D66" s="60">
        <v>2110</v>
      </c>
      <c r="E66" s="60">
        <f>Assumptions!J90</f>
        <v>2110</v>
      </c>
      <c r="F66" s="60">
        <f>Assumptions!K90</f>
        <v>2110</v>
      </c>
      <c r="G66" s="60">
        <f>Assumptions!L90</f>
        <v>2110</v>
      </c>
      <c r="H66" s="60">
        <f>Assumptions!M90</f>
        <v>2110</v>
      </c>
      <c r="I66" s="60">
        <f>Assumptions!N90</f>
        <v>2110</v>
      </c>
      <c r="J66" s="41"/>
    </row>
    <row r="67" spans="2:10">
      <c r="B67" s="41" t="s">
        <v>582</v>
      </c>
      <c r="C67" s="54">
        <f t="shared" ref="C67:I67" si="12">SUM(C63:C66)</f>
        <v>479391</v>
      </c>
      <c r="D67" s="54">
        <f t="shared" si="12"/>
        <v>504881</v>
      </c>
      <c r="E67" s="54">
        <f t="shared" si="12"/>
        <v>504010.27850000001</v>
      </c>
      <c r="F67" s="54">
        <f t="shared" si="12"/>
        <v>519132.77526945004</v>
      </c>
      <c r="G67" s="54">
        <f t="shared" si="12"/>
        <v>529851.75020799052</v>
      </c>
      <c r="H67" s="54">
        <f t="shared" si="12"/>
        <v>537736.80628646456</v>
      </c>
      <c r="I67" s="54">
        <f t="shared" si="12"/>
        <v>543809.09044944821</v>
      </c>
      <c r="J67" s="41"/>
    </row>
    <row r="68" spans="2:10">
      <c r="B68" s="41"/>
      <c r="C68" s="54"/>
      <c r="D68" s="54"/>
      <c r="E68" s="54"/>
      <c r="F68" s="54"/>
      <c r="G68" s="54"/>
      <c r="H68" s="54"/>
      <c r="I68" s="54"/>
      <c r="J68" s="41"/>
    </row>
    <row r="69" spans="2:10">
      <c r="B69" s="41" t="s">
        <v>48</v>
      </c>
      <c r="C69" s="54"/>
      <c r="D69" s="54"/>
      <c r="E69" s="54"/>
      <c r="F69" s="54"/>
      <c r="G69" s="54"/>
      <c r="H69" s="54"/>
      <c r="I69" s="54"/>
      <c r="J69" s="41"/>
    </row>
    <row r="70" spans="2:10">
      <c r="B70" s="48" t="s">
        <v>44</v>
      </c>
      <c r="C70" s="54">
        <v>189590</v>
      </c>
      <c r="D70" s="54">
        <v>208169</v>
      </c>
      <c r="E70" s="54">
        <f>E187</f>
        <v>209904.38700000002</v>
      </c>
      <c r="F70" s="54">
        <f>F187</f>
        <v>216205.78155000001</v>
      </c>
      <c r="G70" s="54">
        <f>G187</f>
        <v>220301.68800750005</v>
      </c>
      <c r="H70" s="54">
        <f>H187</f>
        <v>222964.02720487502</v>
      </c>
      <c r="I70" s="54">
        <f>I187</f>
        <v>224694.54768316876</v>
      </c>
      <c r="J70" s="41"/>
    </row>
    <row r="71" spans="2:10">
      <c r="B71" s="48" t="s">
        <v>49</v>
      </c>
      <c r="C71" s="54">
        <v>17854</v>
      </c>
      <c r="D71" s="54">
        <v>36745</v>
      </c>
      <c r="E71" s="54">
        <f>Assumptions!J91</f>
        <v>36745</v>
      </c>
      <c r="F71" s="54">
        <f>Assumptions!K91</f>
        <v>36745</v>
      </c>
      <c r="G71" s="54">
        <f>Assumptions!L91</f>
        <v>36745</v>
      </c>
      <c r="H71" s="54">
        <f>Assumptions!M91</f>
        <v>36745</v>
      </c>
      <c r="I71" s="54">
        <f>Assumptions!N91</f>
        <v>36745</v>
      </c>
      <c r="J71" s="116"/>
    </row>
    <row r="72" spans="2:10">
      <c r="B72" s="48" t="s">
        <v>46</v>
      </c>
      <c r="C72" s="54">
        <v>392038</v>
      </c>
      <c r="D72" s="54">
        <v>462599</v>
      </c>
      <c r="E72" s="54">
        <f>(E6*Assumptions!J58)-Assumptions!J59</f>
        <v>506008.64547611494</v>
      </c>
      <c r="F72" s="54">
        <f>(F6*Assumptions!K58)-Assumptions!K59</f>
        <v>549369.94458391913</v>
      </c>
      <c r="G72" s="54">
        <f>(G6*Assumptions!L58)-Assumptions!L59</f>
        <v>595386.16738758585</v>
      </c>
      <c r="H72" s="54">
        <f>(H6*Assumptions!M58)-Assumptions!M59</f>
        <v>644200.32970421168</v>
      </c>
      <c r="I72" s="54">
        <f>(I6*Assumptions!N58)-Assumptions!N59</f>
        <v>695962.64073834731</v>
      </c>
      <c r="J72" s="116"/>
    </row>
    <row r="73" spans="2:10">
      <c r="B73" s="48" t="s">
        <v>50</v>
      </c>
      <c r="C73" s="54">
        <v>13262</v>
      </c>
      <c r="D73" s="54">
        <v>16681</v>
      </c>
      <c r="E73" s="54">
        <f>Assumptions!J92</f>
        <v>16681</v>
      </c>
      <c r="F73" s="54">
        <f>Assumptions!K92</f>
        <v>16681</v>
      </c>
      <c r="G73" s="54">
        <f>Assumptions!L92</f>
        <v>16681</v>
      </c>
      <c r="H73" s="54">
        <f>Assumptions!M92</f>
        <v>16681</v>
      </c>
      <c r="I73" s="54">
        <f>Assumptions!N92</f>
        <v>16681</v>
      </c>
      <c r="J73" s="41"/>
    </row>
    <row r="74" spans="2:10">
      <c r="B74" s="62" t="s">
        <v>51</v>
      </c>
      <c r="C74" s="60">
        <v>17141</v>
      </c>
      <c r="D74" s="60">
        <v>15077</v>
      </c>
      <c r="E74" s="60">
        <f>Assumptions!J93</f>
        <v>15077</v>
      </c>
      <c r="F74" s="60">
        <f>Assumptions!K93</f>
        <v>15077</v>
      </c>
      <c r="G74" s="60">
        <f>Assumptions!L93</f>
        <v>15077</v>
      </c>
      <c r="H74" s="60">
        <f>Assumptions!M93</f>
        <v>15077</v>
      </c>
      <c r="I74" s="60">
        <f>Assumptions!N93</f>
        <v>15077</v>
      </c>
      <c r="J74" s="116"/>
    </row>
    <row r="75" spans="2:10">
      <c r="B75" s="41" t="s">
        <v>583</v>
      </c>
      <c r="C75" s="54">
        <f t="shared" ref="C75:I75" si="13">SUM(C70:C74)</f>
        <v>629885</v>
      </c>
      <c r="D75" s="54">
        <f t="shared" si="13"/>
        <v>739271</v>
      </c>
      <c r="E75" s="54">
        <f t="shared" si="13"/>
        <v>784416.03247611492</v>
      </c>
      <c r="F75" s="54">
        <f t="shared" si="13"/>
        <v>834078.72613391909</v>
      </c>
      <c r="G75" s="54">
        <f t="shared" si="13"/>
        <v>884190.85539508588</v>
      </c>
      <c r="H75" s="54">
        <f t="shared" si="13"/>
        <v>935667.35690908669</v>
      </c>
      <c r="I75" s="54">
        <f t="shared" si="13"/>
        <v>989160.1884215161</v>
      </c>
      <c r="J75" s="116"/>
    </row>
    <row r="76" spans="2:10" ht="7.5" customHeight="1">
      <c r="B76" s="61"/>
      <c r="C76" s="60"/>
      <c r="D76" s="60"/>
      <c r="E76" s="60"/>
      <c r="F76" s="60"/>
      <c r="G76" s="60"/>
      <c r="H76" s="60"/>
      <c r="I76" s="60"/>
      <c r="J76" s="116"/>
    </row>
    <row r="77" spans="2:10">
      <c r="B77" s="41" t="s">
        <v>52</v>
      </c>
      <c r="C77" s="54">
        <f t="shared" ref="C77:I77" si="14">C67+C75</f>
        <v>1109276</v>
      </c>
      <c r="D77" s="54">
        <f t="shared" si="14"/>
        <v>1244152</v>
      </c>
      <c r="E77" s="54">
        <f t="shared" si="14"/>
        <v>1288426.3109761151</v>
      </c>
      <c r="F77" s="54">
        <f t="shared" si="14"/>
        <v>1353211.501403369</v>
      </c>
      <c r="G77" s="54">
        <f t="shared" si="14"/>
        <v>1414042.6056030765</v>
      </c>
      <c r="H77" s="54">
        <f t="shared" si="14"/>
        <v>1473404.1631955514</v>
      </c>
      <c r="I77" s="54">
        <f t="shared" si="14"/>
        <v>1532969.2788709644</v>
      </c>
      <c r="J77" s="116"/>
    </row>
    <row r="78" spans="2:10">
      <c r="B78" s="41"/>
      <c r="C78" s="54"/>
      <c r="D78" s="54"/>
      <c r="E78" s="54"/>
      <c r="F78" s="54"/>
      <c r="G78" s="54"/>
      <c r="H78" s="54"/>
      <c r="I78" s="54"/>
      <c r="J78" s="41"/>
    </row>
    <row r="79" spans="2:10">
      <c r="B79" s="41" t="s">
        <v>53</v>
      </c>
      <c r="C79" s="54"/>
      <c r="D79" s="54"/>
      <c r="E79" s="54"/>
      <c r="F79" s="54"/>
      <c r="G79" s="54"/>
      <c r="H79" s="54"/>
      <c r="I79" s="54"/>
      <c r="J79" s="41"/>
    </row>
    <row r="80" spans="2:10">
      <c r="B80" s="41" t="s">
        <v>54</v>
      </c>
      <c r="C80" s="54">
        <v>168473</v>
      </c>
      <c r="D80" s="54">
        <v>168473</v>
      </c>
      <c r="E80" s="54">
        <v>168473</v>
      </c>
      <c r="F80" s="54">
        <v>168473</v>
      </c>
      <c r="G80" s="54">
        <v>168473</v>
      </c>
      <c r="H80" s="54">
        <v>168473</v>
      </c>
      <c r="I80" s="54">
        <v>168473</v>
      </c>
      <c r="J80" s="41"/>
    </row>
    <row r="81" spans="2:10">
      <c r="B81" s="41" t="s">
        <v>55</v>
      </c>
      <c r="C81" s="54">
        <v>-16749</v>
      </c>
      <c r="D81" s="54">
        <v>-16749</v>
      </c>
      <c r="E81" s="54">
        <v>-16749</v>
      </c>
      <c r="F81" s="54">
        <v>-16749</v>
      </c>
      <c r="G81" s="54">
        <v>-16749</v>
      </c>
      <c r="H81" s="54">
        <v>-16749</v>
      </c>
      <c r="I81" s="54">
        <v>-16749</v>
      </c>
      <c r="J81" s="41"/>
    </row>
    <row r="82" spans="2:10">
      <c r="B82" s="41" t="s">
        <v>56</v>
      </c>
      <c r="C82" s="54">
        <v>271609</v>
      </c>
      <c r="D82" s="54">
        <v>360085</v>
      </c>
      <c r="E82" s="54">
        <f>D82+E31-D46-D54-'LBO Model'!C39+2976+E140</f>
        <v>254989.64771725179</v>
      </c>
      <c r="F82" s="54">
        <f>E82+F31</f>
        <v>521623.06607409817</v>
      </c>
      <c r="G82" s="54">
        <f>F82+G31</f>
        <v>821618.30556651368</v>
      </c>
      <c r="H82" s="54">
        <f>G82+H31</f>
        <v>1159935.1452615014</v>
      </c>
      <c r="I82" s="54">
        <f>H82+I31</f>
        <v>1540735.643883467</v>
      </c>
      <c r="J82" s="41"/>
    </row>
    <row r="83" spans="2:10">
      <c r="B83" s="41" t="s">
        <v>57</v>
      </c>
      <c r="C83" s="54">
        <v>-28895</v>
      </c>
      <c r="D83" s="54">
        <v>-22819</v>
      </c>
      <c r="E83" s="54">
        <f>Assumptions!J95</f>
        <v>-25795</v>
      </c>
      <c r="F83" s="54">
        <f>Assumptions!K95</f>
        <v>-25795</v>
      </c>
      <c r="G83" s="54">
        <f>Assumptions!L95</f>
        <v>-25795</v>
      </c>
      <c r="H83" s="54">
        <f>Assumptions!M95</f>
        <v>-25795</v>
      </c>
      <c r="I83" s="54">
        <f>Assumptions!N95</f>
        <v>-25795</v>
      </c>
      <c r="J83" s="41"/>
    </row>
    <row r="84" spans="2:10">
      <c r="B84" s="61" t="s">
        <v>58</v>
      </c>
      <c r="C84" s="60">
        <v>3686</v>
      </c>
      <c r="D84" s="60">
        <v>984</v>
      </c>
      <c r="E84" s="60">
        <v>984</v>
      </c>
      <c r="F84" s="60">
        <v>984</v>
      </c>
      <c r="G84" s="60">
        <v>984</v>
      </c>
      <c r="H84" s="60">
        <v>984</v>
      </c>
      <c r="I84" s="60">
        <v>984</v>
      </c>
      <c r="J84" s="41"/>
    </row>
    <row r="85" spans="2:10">
      <c r="B85" s="123" t="s">
        <v>59</v>
      </c>
      <c r="C85" s="118">
        <f t="shared" ref="C85:I85" si="15">SUM(C80:C84)</f>
        <v>398124</v>
      </c>
      <c r="D85" s="118">
        <f t="shared" si="15"/>
        <v>489974</v>
      </c>
      <c r="E85" s="118">
        <f t="shared" si="15"/>
        <v>381902.64771725179</v>
      </c>
      <c r="F85" s="118">
        <f t="shared" si="15"/>
        <v>648536.06607409823</v>
      </c>
      <c r="G85" s="118">
        <f t="shared" si="15"/>
        <v>948531.30556651368</v>
      </c>
      <c r="H85" s="118">
        <f t="shared" si="15"/>
        <v>1286848.1452615014</v>
      </c>
      <c r="I85" s="118">
        <f t="shared" si="15"/>
        <v>1667648.643883467</v>
      </c>
      <c r="J85" s="41"/>
    </row>
    <row r="86" spans="2:10" ht="6.5" customHeight="1">
      <c r="B86" s="47"/>
      <c r="C86" s="54"/>
      <c r="D86" s="54"/>
      <c r="E86" s="54"/>
      <c r="F86" s="54"/>
      <c r="G86" s="54"/>
      <c r="H86" s="54"/>
      <c r="I86" s="54"/>
      <c r="J86" s="41"/>
    </row>
    <row r="87" spans="2:10" ht="15" thickBot="1">
      <c r="B87" s="121" t="s">
        <v>60</v>
      </c>
      <c r="C87" s="122">
        <f t="shared" ref="C87:I87" si="16">C85+C77</f>
        <v>1507400</v>
      </c>
      <c r="D87" s="122">
        <f t="shared" si="16"/>
        <v>1734126</v>
      </c>
      <c r="E87" s="122">
        <f t="shared" si="16"/>
        <v>1670328.958693367</v>
      </c>
      <c r="F87" s="122">
        <f t="shared" si="16"/>
        <v>2001747.5674774672</v>
      </c>
      <c r="G87" s="122">
        <f t="shared" si="16"/>
        <v>2362573.9111695904</v>
      </c>
      <c r="H87" s="122">
        <f t="shared" si="16"/>
        <v>2760252.3084570528</v>
      </c>
      <c r="I87" s="122">
        <f t="shared" si="16"/>
        <v>3200617.9227544311</v>
      </c>
      <c r="J87" s="41"/>
    </row>
    <row r="88" spans="2:10" ht="15" thickTop="1">
      <c r="B88" s="41"/>
      <c r="C88" s="117"/>
      <c r="D88" s="117"/>
      <c r="E88" s="117"/>
      <c r="F88" s="117"/>
      <c r="G88" s="117"/>
      <c r="H88" s="117"/>
      <c r="I88" s="117"/>
      <c r="J88" s="41"/>
    </row>
    <row r="89" spans="2:10" ht="15" thickBot="1">
      <c r="B89" s="125" t="s">
        <v>584</v>
      </c>
      <c r="C89" s="126">
        <f t="shared" ref="C89:I89" si="17">C58-C87</f>
        <v>0</v>
      </c>
      <c r="D89" s="126">
        <f t="shared" si="17"/>
        <v>0</v>
      </c>
      <c r="E89" s="126">
        <f t="shared" si="17"/>
        <v>0</v>
      </c>
      <c r="F89" s="126">
        <f t="shared" si="17"/>
        <v>0</v>
      </c>
      <c r="G89" s="126">
        <f t="shared" si="17"/>
        <v>0</v>
      </c>
      <c r="H89" s="126">
        <f t="shared" si="17"/>
        <v>0</v>
      </c>
      <c r="I89" s="126">
        <f t="shared" si="17"/>
        <v>0</v>
      </c>
      <c r="J89" s="41"/>
    </row>
    <row r="90" spans="2:10">
      <c r="C90" s="6"/>
      <c r="D90" s="6"/>
      <c r="F90" s="8"/>
    </row>
    <row r="91" spans="2:10" ht="15" thickBot="1">
      <c r="C91" s="6"/>
      <c r="D91" s="6"/>
      <c r="F91" s="8"/>
    </row>
    <row r="92" spans="2:10" ht="36" customHeight="1" thickTop="1">
      <c r="B92" s="292" t="s">
        <v>109</v>
      </c>
      <c r="C92" s="36"/>
      <c r="D92" s="36"/>
      <c r="E92" s="36"/>
      <c r="F92" s="36"/>
      <c r="G92" s="36"/>
      <c r="H92" s="36"/>
      <c r="I92" s="36"/>
    </row>
    <row r="93" spans="2:10" ht="20.5">
      <c r="B93" s="41"/>
      <c r="C93" s="38"/>
      <c r="D93" s="38"/>
      <c r="E93" s="131" t="s">
        <v>576</v>
      </c>
      <c r="F93" s="131"/>
      <c r="G93" s="131"/>
      <c r="H93" s="131"/>
      <c r="I93" s="131"/>
    </row>
    <row r="94" spans="2:10" ht="15" thickBot="1">
      <c r="B94" s="108" t="s">
        <v>581</v>
      </c>
      <c r="C94" s="371">
        <f t="shared" ref="C94:I94" si="18">C$4</f>
        <v>2024</v>
      </c>
      <c r="D94" s="371">
        <f t="shared" si="18"/>
        <v>2025</v>
      </c>
      <c r="E94" s="372">
        <f t="shared" si="18"/>
        <v>2026</v>
      </c>
      <c r="F94" s="372">
        <f t="shared" si="18"/>
        <v>2027</v>
      </c>
      <c r="G94" s="372">
        <f t="shared" si="18"/>
        <v>2028</v>
      </c>
      <c r="H94" s="372">
        <f t="shared" si="18"/>
        <v>2029</v>
      </c>
      <c r="I94" s="372">
        <f t="shared" si="18"/>
        <v>2030</v>
      </c>
    </row>
    <row r="95" spans="2:10" ht="5.5" customHeight="1">
      <c r="B95" s="41"/>
      <c r="C95" s="64"/>
      <c r="D95" s="64"/>
      <c r="E95" s="41"/>
      <c r="F95" s="41"/>
      <c r="G95" s="41"/>
      <c r="H95" s="41"/>
      <c r="I95" s="41"/>
    </row>
    <row r="96" spans="2:10" ht="15.5">
      <c r="B96" s="294" t="s">
        <v>587</v>
      </c>
      <c r="C96" s="135"/>
      <c r="D96" s="135"/>
      <c r="E96" s="135"/>
      <c r="F96" s="135"/>
      <c r="G96" s="135"/>
      <c r="H96" s="135"/>
      <c r="I96" s="136"/>
      <c r="J96" s="133"/>
    </row>
    <row r="97" spans="2:10" ht="7.5" customHeight="1">
      <c r="B97" s="32"/>
      <c r="C97" s="137"/>
      <c r="D97" s="137"/>
      <c r="E97" s="137"/>
      <c r="F97" s="137"/>
      <c r="G97" s="137"/>
      <c r="H97" s="137"/>
      <c r="I97" s="137"/>
      <c r="J97" s="133"/>
    </row>
    <row r="98" spans="2:10">
      <c r="B98" s="41" t="s">
        <v>149</v>
      </c>
      <c r="C98" s="54">
        <f t="shared" ref="C98:I98" si="19">C$28</f>
        <v>172131</v>
      </c>
      <c r="D98" s="54">
        <f t="shared" si="19"/>
        <v>254101</v>
      </c>
      <c r="E98" s="54">
        <f t="shared" si="19"/>
        <v>273022.19966339495</v>
      </c>
      <c r="F98" s="54">
        <f t="shared" si="19"/>
        <v>317420.73613910284</v>
      </c>
      <c r="G98" s="54">
        <f t="shared" si="19"/>
        <v>357137.1898719233</v>
      </c>
      <c r="H98" s="54">
        <f t="shared" si="19"/>
        <v>402758.14249403303</v>
      </c>
      <c r="I98" s="54">
        <f t="shared" si="19"/>
        <v>453333.92693091126</v>
      </c>
    </row>
    <row r="99" spans="2:10">
      <c r="B99" s="57" t="s">
        <v>118</v>
      </c>
      <c r="C99" s="54"/>
      <c r="D99" s="54"/>
      <c r="E99" s="54"/>
      <c r="F99" s="54"/>
      <c r="G99" s="54"/>
      <c r="H99" s="54"/>
      <c r="I99" s="54"/>
    </row>
    <row r="100" spans="2:10">
      <c r="B100" s="57" t="s">
        <v>110</v>
      </c>
      <c r="C100" s="54">
        <f t="shared" ref="C100:I100" si="20">-C16</f>
        <v>278153</v>
      </c>
      <c r="D100" s="54">
        <f t="shared" si="20"/>
        <v>307066</v>
      </c>
      <c r="E100" s="54">
        <f t="shared" si="20"/>
        <v>321555.06444444443</v>
      </c>
      <c r="F100" s="54">
        <f t="shared" si="20"/>
        <v>331130.60194275266</v>
      </c>
      <c r="G100" s="54">
        <f t="shared" si="20"/>
        <v>348295.36798733636</v>
      </c>
      <c r="H100" s="54">
        <f t="shared" si="20"/>
        <v>363425.06925147714</v>
      </c>
      <c r="I100" s="54">
        <f t="shared" si="20"/>
        <v>377536.95578843146</v>
      </c>
    </row>
    <row r="101" spans="2:10">
      <c r="B101" s="57" t="s">
        <v>111</v>
      </c>
      <c r="C101" s="54">
        <v>10220</v>
      </c>
      <c r="D101" s="54">
        <v>9878</v>
      </c>
      <c r="E101" s="54">
        <f>E230</f>
        <v>10399.514999999999</v>
      </c>
      <c r="F101" s="54">
        <f>F230</f>
        <v>10731.259528499999</v>
      </c>
      <c r="G101" s="54">
        <f>G230</f>
        <v>11073.586707459148</v>
      </c>
      <c r="H101" s="54">
        <f>H230</f>
        <v>11426.834123427096</v>
      </c>
      <c r="I101" s="54">
        <f>I230</f>
        <v>11791.35013196442</v>
      </c>
    </row>
    <row r="102" spans="2:10">
      <c r="B102" s="57" t="s">
        <v>114</v>
      </c>
      <c r="C102" s="54">
        <v>1093</v>
      </c>
      <c r="D102" s="54">
        <v>251</v>
      </c>
      <c r="E102" s="55">
        <v>0</v>
      </c>
      <c r="F102" s="55">
        <v>0</v>
      </c>
      <c r="G102" s="55">
        <v>0</v>
      </c>
      <c r="H102" s="55">
        <v>0</v>
      </c>
      <c r="I102" s="55">
        <v>0</v>
      </c>
    </row>
    <row r="103" spans="2:10">
      <c r="B103" s="57" t="s">
        <v>112</v>
      </c>
      <c r="C103" s="54">
        <v>1978</v>
      </c>
      <c r="D103" s="54">
        <v>2662</v>
      </c>
      <c r="E103" s="55">
        <v>0</v>
      </c>
      <c r="F103" s="55">
        <v>0</v>
      </c>
      <c r="G103" s="55">
        <v>0</v>
      </c>
      <c r="H103" s="55">
        <v>0</v>
      </c>
      <c r="I103" s="55">
        <v>0</v>
      </c>
    </row>
    <row r="104" spans="2:10">
      <c r="B104" s="57" t="s">
        <v>113</v>
      </c>
      <c r="C104" s="54">
        <v>12631</v>
      </c>
      <c r="D104" s="54">
        <v>5559</v>
      </c>
      <c r="E104" s="55">
        <v>0</v>
      </c>
      <c r="F104" s="55">
        <v>0</v>
      </c>
      <c r="G104" s="55">
        <v>0</v>
      </c>
      <c r="H104" s="55">
        <v>0</v>
      </c>
      <c r="I104" s="55">
        <v>0</v>
      </c>
    </row>
    <row r="105" spans="2:10">
      <c r="B105" s="57" t="s">
        <v>115</v>
      </c>
      <c r="C105" s="54">
        <v>1862</v>
      </c>
      <c r="D105" s="54">
        <v>2591</v>
      </c>
      <c r="E105" s="54">
        <f>-(E161+E197)-E129</f>
        <v>2983</v>
      </c>
      <c r="F105" s="54">
        <f>-(F161+F197)-F129</f>
        <v>2983</v>
      </c>
      <c r="G105" s="54">
        <f>-(G161+G197)-G129</f>
        <v>2983</v>
      </c>
      <c r="H105" s="54">
        <f>-(H161+H197)-H129</f>
        <v>2983</v>
      </c>
      <c r="I105" s="54">
        <f>-(I161+I197)-I129</f>
        <v>2983</v>
      </c>
    </row>
    <row r="106" spans="2:10">
      <c r="B106" s="57" t="s">
        <v>116</v>
      </c>
      <c r="C106" s="54">
        <v>1382</v>
      </c>
      <c r="D106" s="54">
        <v>1594</v>
      </c>
      <c r="E106" s="55">
        <v>0</v>
      </c>
      <c r="F106" s="55">
        <v>0</v>
      </c>
      <c r="G106" s="55">
        <v>0</v>
      </c>
      <c r="H106" s="55">
        <v>0</v>
      </c>
      <c r="I106" s="55">
        <v>0</v>
      </c>
    </row>
    <row r="107" spans="2:10">
      <c r="B107" s="57" t="s">
        <v>105</v>
      </c>
      <c r="C107" s="54">
        <v>-16116</v>
      </c>
      <c r="D107" s="54">
        <v>-15508</v>
      </c>
      <c r="E107" s="54">
        <f>E24</f>
        <v>0</v>
      </c>
      <c r="F107" s="54">
        <f>F24</f>
        <v>0</v>
      </c>
      <c r="G107" s="54">
        <f>G24</f>
        <v>0</v>
      </c>
      <c r="H107" s="54">
        <f>H24</f>
        <v>0</v>
      </c>
      <c r="I107" s="54">
        <f>I24</f>
        <v>0</v>
      </c>
    </row>
    <row r="108" spans="2:10">
      <c r="B108" s="57" t="s">
        <v>106</v>
      </c>
      <c r="C108" s="54">
        <v>35793</v>
      </c>
      <c r="D108" s="54">
        <v>44135</v>
      </c>
      <c r="E108" s="54">
        <f>-E25</f>
        <v>43476.447349999995</v>
      </c>
      <c r="F108" s="54">
        <f>-F25</f>
        <v>44139.93525445</v>
      </c>
      <c r="G108" s="54">
        <f>-G25</f>
        <v>45241.623567457209</v>
      </c>
      <c r="H108" s="54">
        <f>-H25</f>
        <v>45999.431581512756</v>
      </c>
      <c r="I108" s="54">
        <f>-I25</f>
        <v>46535.047969727886</v>
      </c>
    </row>
    <row r="109" spans="2:10">
      <c r="B109" s="57" t="s">
        <v>117</v>
      </c>
      <c r="C109" s="54">
        <v>600</v>
      </c>
      <c r="D109" s="54">
        <v>1088</v>
      </c>
      <c r="E109" s="55">
        <v>0</v>
      </c>
      <c r="F109" s="55">
        <v>0</v>
      </c>
      <c r="G109" s="55">
        <v>0</v>
      </c>
      <c r="H109" s="55">
        <v>0</v>
      </c>
      <c r="I109" s="55">
        <v>0</v>
      </c>
    </row>
    <row r="110" spans="2:10" ht="5" customHeight="1">
      <c r="B110" s="61"/>
      <c r="C110" s="60"/>
      <c r="D110" s="60"/>
      <c r="E110" s="60"/>
      <c r="F110" s="60"/>
      <c r="G110" s="60"/>
      <c r="H110" s="60"/>
      <c r="I110" s="60"/>
    </row>
    <row r="111" spans="2:10">
      <c r="B111" s="47" t="s">
        <v>119</v>
      </c>
      <c r="C111" s="54">
        <f t="shared" ref="C111:I111" si="21">SUM(C98:C109)</f>
        <v>499727</v>
      </c>
      <c r="D111" s="54">
        <f t="shared" si="21"/>
        <v>613417</v>
      </c>
      <c r="E111" s="54">
        <f t="shared" si="21"/>
        <v>651436.22645783948</v>
      </c>
      <c r="F111" s="54">
        <f t="shared" si="21"/>
        <v>706405.53286480554</v>
      </c>
      <c r="G111" s="54">
        <f t="shared" si="21"/>
        <v>764730.76813417603</v>
      </c>
      <c r="H111" s="54">
        <f t="shared" si="21"/>
        <v>826592.47745044995</v>
      </c>
      <c r="I111" s="54">
        <f t="shared" si="21"/>
        <v>892180.28082103503</v>
      </c>
    </row>
    <row r="112" spans="2:10">
      <c r="B112" s="41"/>
      <c r="C112" s="54"/>
      <c r="D112" s="54"/>
      <c r="E112" s="54"/>
      <c r="F112" s="54"/>
      <c r="G112" s="54"/>
      <c r="H112" s="54"/>
      <c r="I112" s="54"/>
    </row>
    <row r="113" spans="2:9">
      <c r="B113" s="57" t="s">
        <v>120</v>
      </c>
      <c r="C113" s="54">
        <v>-14121</v>
      </c>
      <c r="D113" s="54">
        <v>-11092</v>
      </c>
      <c r="E113" s="54">
        <f>E234</f>
        <v>-11460.69</v>
      </c>
      <c r="F113" s="54">
        <f>F234</f>
        <v>-11826.286011</v>
      </c>
      <c r="G113" s="54">
        <f>G234</f>
        <v>-12203.544534750899</v>
      </c>
      <c r="H113" s="54">
        <f>H234</f>
        <v>-12592.837605409453</v>
      </c>
      <c r="I113" s="54">
        <f>I234</f>
        <v>-12994.549125022015</v>
      </c>
    </row>
    <row r="114" spans="2:9">
      <c r="B114" s="57" t="s">
        <v>121</v>
      </c>
      <c r="C114" s="54">
        <v>-14898</v>
      </c>
      <c r="D114" s="54">
        <v>-18416</v>
      </c>
      <c r="E114" s="54">
        <f>E30</f>
        <v>-43683.55194614319</v>
      </c>
      <c r="F114" s="54">
        <f>F30</f>
        <v>-50787.317782256454</v>
      </c>
      <c r="G114" s="54">
        <f>G30</f>
        <v>-57141.950379507733</v>
      </c>
      <c r="H114" s="54">
        <f>H30</f>
        <v>-64441.30279904529</v>
      </c>
      <c r="I114" s="54">
        <f>I30</f>
        <v>-72533.428308945804</v>
      </c>
    </row>
    <row r="115" spans="2:9">
      <c r="B115" s="57"/>
      <c r="C115" s="54"/>
      <c r="D115" s="54"/>
      <c r="E115" s="54"/>
      <c r="F115" s="54"/>
      <c r="G115" s="54"/>
      <c r="H115" s="54"/>
      <c r="I115" s="54"/>
    </row>
    <row r="116" spans="2:9">
      <c r="B116" s="57" t="s">
        <v>256</v>
      </c>
      <c r="C116" s="54"/>
      <c r="D116" s="54"/>
      <c r="E116" s="54"/>
      <c r="F116" s="54"/>
      <c r="G116" s="54"/>
      <c r="H116" s="54"/>
      <c r="I116" s="54"/>
    </row>
    <row r="117" spans="2:9">
      <c r="B117" s="57" t="s">
        <v>33</v>
      </c>
      <c r="C117" s="54">
        <v>-8235</v>
      </c>
      <c r="D117" s="54">
        <v>-20272</v>
      </c>
      <c r="E117" s="54">
        <f>-(E222-D222)</f>
        <v>-8271.1411163874436</v>
      </c>
      <c r="F117" s="54">
        <f>-(F222-E222)</f>
        <v>-9659.9082003723597</v>
      </c>
      <c r="G117" s="54">
        <f>-(G222-F222)</f>
        <v>-10251.364630616008</v>
      </c>
      <c r="H117" s="54">
        <f>-(H222-G222)</f>
        <v>-10874.681722158421</v>
      </c>
      <c r="I117" s="54">
        <f>-(I222-H222)</f>
        <v>-11531.461997615319</v>
      </c>
    </row>
    <row r="118" spans="2:9">
      <c r="B118" s="57" t="s">
        <v>122</v>
      </c>
      <c r="C118" s="54">
        <v>41</v>
      </c>
      <c r="D118" s="54">
        <v>30</v>
      </c>
      <c r="E118" s="129">
        <f>D53-E53</f>
        <v>0</v>
      </c>
      <c r="F118" s="129">
        <f>E53-F53</f>
        <v>0</v>
      </c>
      <c r="G118" s="129">
        <f>F53-G53</f>
        <v>0</v>
      </c>
      <c r="H118" s="129">
        <f>G53-H53</f>
        <v>0</v>
      </c>
      <c r="I118" s="129">
        <f>H53-I53</f>
        <v>0</v>
      </c>
    </row>
    <row r="119" spans="2:9">
      <c r="B119" s="57" t="s">
        <v>123</v>
      </c>
      <c r="C119" s="54">
        <v>10974</v>
      </c>
      <c r="D119" s="54">
        <v>-19551</v>
      </c>
      <c r="E119" s="54">
        <f>-(E51-D51)</f>
        <v>-10382.579908791115</v>
      </c>
      <c r="F119" s="54">
        <f>-(F51-E51)</f>
        <v>-14102.892684223247</v>
      </c>
      <c r="G119" s="54">
        <f>-(G51-F51)</f>
        <v>-14966.383971107018</v>
      </c>
      <c r="H119" s="54">
        <f>-(H51-G51)</f>
        <v>-15876.389932646678</v>
      </c>
      <c r="I119" s="54">
        <f>-(I51-H51)</f>
        <v>-16835.250156755908</v>
      </c>
    </row>
    <row r="120" spans="2:9">
      <c r="B120" s="57" t="s">
        <v>50</v>
      </c>
      <c r="C120" s="54">
        <v>-2487</v>
      </c>
      <c r="D120" s="54">
        <v>2734</v>
      </c>
      <c r="E120" s="129">
        <f>E73-D73</f>
        <v>0</v>
      </c>
      <c r="F120" s="129">
        <f>F73-E73</f>
        <v>0</v>
      </c>
      <c r="G120" s="129">
        <f>G73-F73</f>
        <v>0</v>
      </c>
      <c r="H120" s="129">
        <f>H73-G73</f>
        <v>0</v>
      </c>
      <c r="I120" s="129">
        <f>I73-H73</f>
        <v>0</v>
      </c>
    </row>
    <row r="121" spans="2:9">
      <c r="B121" s="57" t="s">
        <v>124</v>
      </c>
      <c r="C121" s="54">
        <v>-38200</v>
      </c>
      <c r="D121" s="54">
        <v>42147</v>
      </c>
      <c r="E121" s="54">
        <f>E72-D72</f>
        <v>43409.645476114936</v>
      </c>
      <c r="F121" s="54">
        <f>F72-E72</f>
        <v>43361.299107804196</v>
      </c>
      <c r="G121" s="54">
        <f>G72-F72</f>
        <v>46016.222803666722</v>
      </c>
      <c r="H121" s="54">
        <f>H72-G72</f>
        <v>48814.162316625821</v>
      </c>
      <c r="I121" s="54">
        <f>I72-H72</f>
        <v>51762.311034135637</v>
      </c>
    </row>
    <row r="122" spans="2:9" ht="7.5" customHeight="1">
      <c r="B122" s="41"/>
      <c r="C122" s="54"/>
      <c r="D122" s="54"/>
      <c r="E122" s="54"/>
      <c r="F122" s="54"/>
      <c r="G122" s="54"/>
      <c r="H122" s="54"/>
      <c r="I122" s="54"/>
    </row>
    <row r="123" spans="2:9">
      <c r="B123" s="119" t="s">
        <v>125</v>
      </c>
      <c r="C123" s="120">
        <f t="shared" ref="C123:I123" si="22">SUM(C111,C113,C114,C117:C121)</f>
        <v>432801</v>
      </c>
      <c r="D123" s="120">
        <f t="shared" si="22"/>
        <v>588997</v>
      </c>
      <c r="E123" s="120">
        <f t="shared" si="22"/>
        <v>621047.90896263276</v>
      </c>
      <c r="F123" s="120">
        <f t="shared" si="22"/>
        <v>663390.42729475768</v>
      </c>
      <c r="G123" s="120">
        <f t="shared" si="22"/>
        <v>716183.74742186116</v>
      </c>
      <c r="H123" s="120">
        <f t="shared" si="22"/>
        <v>771621.42770781589</v>
      </c>
      <c r="I123" s="120">
        <f t="shared" si="22"/>
        <v>830047.9022668316</v>
      </c>
    </row>
    <row r="124" spans="2:9">
      <c r="B124" s="41"/>
      <c r="C124" s="54"/>
      <c r="D124" s="54"/>
      <c r="E124" s="54"/>
      <c r="F124" s="54"/>
      <c r="G124" s="54"/>
      <c r="H124" s="54"/>
      <c r="I124" s="54"/>
    </row>
    <row r="125" spans="2:9" ht="15.5">
      <c r="B125" s="294" t="s">
        <v>126</v>
      </c>
      <c r="C125" s="135"/>
      <c r="D125" s="135"/>
      <c r="E125" s="135"/>
      <c r="F125" s="135"/>
      <c r="G125" s="135"/>
      <c r="H125" s="135"/>
      <c r="I125" s="136"/>
    </row>
    <row r="126" spans="2:9" ht="5" customHeight="1">
      <c r="B126" s="32"/>
      <c r="C126" s="137"/>
      <c r="D126" s="137"/>
      <c r="E126" s="137"/>
      <c r="F126" s="137"/>
      <c r="G126" s="137"/>
      <c r="H126" s="137"/>
      <c r="I126" s="137"/>
    </row>
    <row r="127" spans="2:9" ht="29">
      <c r="B127" s="138" t="s">
        <v>127</v>
      </c>
      <c r="C127" s="54">
        <v>82238</v>
      </c>
      <c r="D127" s="54">
        <v>-49346</v>
      </c>
      <c r="E127" s="55">
        <v>0</v>
      </c>
      <c r="F127" s="55">
        <f>(E54+E46)-(F46+F54)</f>
        <v>0</v>
      </c>
      <c r="G127" s="55">
        <f>(F54+F46)-(G46+G54)</f>
        <v>0</v>
      </c>
      <c r="H127" s="55">
        <f>(G54+G46)-(H46+H54)</f>
        <v>0</v>
      </c>
      <c r="I127" s="55">
        <f>(H54+H46)-(I46+I54)</f>
        <v>0</v>
      </c>
    </row>
    <row r="128" spans="2:9">
      <c r="B128" s="57" t="s">
        <v>128</v>
      </c>
      <c r="C128" s="54">
        <f t="shared" ref="C128:I128" si="23">-C159</f>
        <v>-106606</v>
      </c>
      <c r="D128" s="54">
        <f t="shared" si="23"/>
        <v>-94881</v>
      </c>
      <c r="E128" s="54">
        <f t="shared" si="23"/>
        <v>-122751.71070469261</v>
      </c>
      <c r="F128" s="54">
        <f t="shared" si="23"/>
        <v>-133214.22255376063</v>
      </c>
      <c r="G128" s="54">
        <f t="shared" si="23"/>
        <v>-144317.33261362661</v>
      </c>
      <c r="H128" s="54">
        <f t="shared" si="23"/>
        <v>-156095.54872219582</v>
      </c>
      <c r="I128" s="54">
        <f t="shared" si="23"/>
        <v>-168585.11438726878</v>
      </c>
    </row>
    <row r="129" spans="2:10">
      <c r="B129" s="57" t="s">
        <v>129</v>
      </c>
      <c r="C129" s="54">
        <v>2441</v>
      </c>
      <c r="D129" s="54">
        <v>1222</v>
      </c>
      <c r="E129" s="54">
        <f>Assumptions!J107</f>
        <v>1700</v>
      </c>
      <c r="F129" s="54">
        <f>Assumptions!K107</f>
        <v>1700</v>
      </c>
      <c r="G129" s="54">
        <f>Assumptions!L107</f>
        <v>1700</v>
      </c>
      <c r="H129" s="54">
        <f>Assumptions!M107</f>
        <v>1700</v>
      </c>
      <c r="I129" s="54">
        <f>Assumptions!N107</f>
        <v>1700</v>
      </c>
    </row>
    <row r="130" spans="2:10">
      <c r="B130" s="57" t="s">
        <v>130</v>
      </c>
      <c r="C130" s="54">
        <v>0</v>
      </c>
      <c r="D130" s="54">
        <v>-59</v>
      </c>
      <c r="E130" s="55">
        <v>0</v>
      </c>
      <c r="F130" s="55">
        <v>0</v>
      </c>
      <c r="G130" s="55">
        <v>0</v>
      </c>
      <c r="H130" s="55">
        <v>0</v>
      </c>
      <c r="I130" s="55">
        <v>0</v>
      </c>
    </row>
    <row r="131" spans="2:10">
      <c r="B131" s="57" t="s">
        <v>131</v>
      </c>
      <c r="C131" s="54">
        <f t="shared" ref="C131:I131" si="24">-C195</f>
        <v>-17199</v>
      </c>
      <c r="D131" s="54">
        <f t="shared" si="24"/>
        <v>-12215</v>
      </c>
      <c r="E131" s="54">
        <f t="shared" si="24"/>
        <v>-16366.894760625682</v>
      </c>
      <c r="F131" s="54">
        <f t="shared" si="24"/>
        <v>-17761.896340501418</v>
      </c>
      <c r="G131" s="54">
        <f t="shared" si="24"/>
        <v>-19242.311015150215</v>
      </c>
      <c r="H131" s="54">
        <f t="shared" si="24"/>
        <v>-20812.739829626113</v>
      </c>
      <c r="I131" s="54">
        <f t="shared" si="24"/>
        <v>-22478.015251635839</v>
      </c>
    </row>
    <row r="132" spans="2:10">
      <c r="B132" s="57" t="s">
        <v>132</v>
      </c>
      <c r="C132" s="54">
        <v>-504</v>
      </c>
      <c r="D132" s="54">
        <v>-1680</v>
      </c>
      <c r="E132" s="54">
        <f>Assumptions!J106</f>
        <v>-1100</v>
      </c>
      <c r="F132" s="54">
        <f>Assumptions!K106</f>
        <v>-1100</v>
      </c>
      <c r="G132" s="54">
        <f>Assumptions!L106</f>
        <v>-1100</v>
      </c>
      <c r="H132" s="54">
        <f>Assumptions!M106</f>
        <v>-1100</v>
      </c>
      <c r="I132" s="54">
        <f>Assumptions!N106</f>
        <v>-1100</v>
      </c>
    </row>
    <row r="133" spans="2:10">
      <c r="B133" s="57" t="s">
        <v>133</v>
      </c>
      <c r="C133" s="54">
        <v>18306</v>
      </c>
      <c r="D133" s="54">
        <v>15863</v>
      </c>
      <c r="E133" s="54">
        <f>E107</f>
        <v>0</v>
      </c>
      <c r="F133" s="129">
        <f>F107</f>
        <v>0</v>
      </c>
      <c r="G133" s="129">
        <f>G107</f>
        <v>0</v>
      </c>
      <c r="H133" s="129">
        <f>H107</f>
        <v>0</v>
      </c>
      <c r="I133" s="129">
        <f>I107</f>
        <v>0</v>
      </c>
    </row>
    <row r="134" spans="2:10">
      <c r="B134" s="57" t="s">
        <v>134</v>
      </c>
      <c r="C134" s="54">
        <v>0</v>
      </c>
      <c r="D134" s="54">
        <v>-10565</v>
      </c>
      <c r="E134" s="54">
        <f>Assumptions!J108</f>
        <v>-20830</v>
      </c>
      <c r="F134" s="54">
        <f>Assumptions!K108</f>
        <v>0</v>
      </c>
      <c r="G134" s="54">
        <f>Assumptions!L108</f>
        <v>0</v>
      </c>
      <c r="H134" s="54">
        <f>Assumptions!M108</f>
        <v>0</v>
      </c>
      <c r="I134" s="54">
        <f>Assumptions!N108</f>
        <v>0</v>
      </c>
    </row>
    <row r="135" spans="2:10" ht="7.5" customHeight="1">
      <c r="B135" s="41"/>
      <c r="C135" s="54"/>
      <c r="D135" s="54"/>
      <c r="E135" s="54"/>
      <c r="F135" s="54"/>
      <c r="G135" s="54"/>
      <c r="H135" s="54"/>
      <c r="I135" s="54"/>
    </row>
    <row r="136" spans="2:10">
      <c r="B136" s="119" t="s">
        <v>135</v>
      </c>
      <c r="C136" s="120">
        <f>SUM(C127:C134)</f>
        <v>-21324</v>
      </c>
      <c r="D136" s="120">
        <f t="shared" ref="D136:I136" si="25">SUM(D127:D134)</f>
        <v>-151661</v>
      </c>
      <c r="E136" s="120">
        <f>SUM(E127:E134)</f>
        <v>-159348.60546531828</v>
      </c>
      <c r="F136" s="120">
        <f t="shared" si="25"/>
        <v>-150376.11889426204</v>
      </c>
      <c r="G136" s="120">
        <f t="shared" si="25"/>
        <v>-162959.64362877683</v>
      </c>
      <c r="H136" s="120">
        <f t="shared" si="25"/>
        <v>-176308.28855182193</v>
      </c>
      <c r="I136" s="120">
        <f t="shared" si="25"/>
        <v>-190463.12963890462</v>
      </c>
    </row>
    <row r="137" spans="2:10">
      <c r="B137" s="41"/>
      <c r="C137" s="54"/>
      <c r="D137" s="54"/>
      <c r="E137" s="54"/>
      <c r="F137" s="54"/>
      <c r="G137" s="54"/>
      <c r="H137" s="54"/>
      <c r="I137" s="54"/>
    </row>
    <row r="138" spans="2:10" ht="15.5">
      <c r="B138" s="294" t="s">
        <v>136</v>
      </c>
      <c r="C138" s="135"/>
      <c r="D138" s="135"/>
      <c r="E138" s="135"/>
      <c r="F138" s="135"/>
      <c r="G138" s="135"/>
      <c r="H138" s="135"/>
      <c r="I138" s="136"/>
    </row>
    <row r="139" spans="2:10" ht="5" customHeight="1">
      <c r="B139" s="32"/>
      <c r="C139" s="137"/>
      <c r="D139" s="137"/>
      <c r="E139" s="137"/>
      <c r="F139" s="137"/>
      <c r="G139" s="137"/>
      <c r="H139" s="137"/>
      <c r="I139" s="137"/>
    </row>
    <row r="140" spans="2:10">
      <c r="B140" s="57" t="s">
        <v>137</v>
      </c>
      <c r="C140" s="54">
        <v>-179424</v>
      </c>
      <c r="D140" s="54">
        <v>-126987</v>
      </c>
      <c r="E140" s="55">
        <v>0</v>
      </c>
      <c r="F140" s="55">
        <f>-Assumptions!K104</f>
        <v>0</v>
      </c>
      <c r="G140" s="55">
        <f>-Assumptions!L104</f>
        <v>0</v>
      </c>
      <c r="H140" s="55">
        <f>-Assumptions!M104</f>
        <v>0</v>
      </c>
      <c r="I140" s="55">
        <f>-Assumptions!N104</f>
        <v>0</v>
      </c>
      <c r="J140" s="28" t="s">
        <v>523</v>
      </c>
    </row>
    <row r="141" spans="2:10">
      <c r="B141" s="57" t="s">
        <v>138</v>
      </c>
      <c r="C141" s="54">
        <v>-148</v>
      </c>
      <c r="D141" s="54">
        <v>-42</v>
      </c>
      <c r="E141" s="54">
        <f>-Assumptions!J36</f>
        <v>-42</v>
      </c>
      <c r="F141" s="54">
        <f>-Assumptions!K36</f>
        <v>-42</v>
      </c>
      <c r="G141" s="54">
        <f>-Assumptions!L36</f>
        <v>-42</v>
      </c>
      <c r="H141" s="54">
        <f>-Assumptions!M36</f>
        <v>-42</v>
      </c>
      <c r="I141" s="54">
        <f>-Assumptions!N36</f>
        <v>-42</v>
      </c>
      <c r="J141" s="28"/>
    </row>
    <row r="142" spans="2:10">
      <c r="B142" s="57" t="s">
        <v>139</v>
      </c>
      <c r="C142" s="54">
        <v>-955</v>
      </c>
      <c r="D142" s="54">
        <v>-478</v>
      </c>
      <c r="E142" s="55">
        <v>0</v>
      </c>
      <c r="F142" s="55">
        <v>0</v>
      </c>
      <c r="G142" s="55">
        <v>0</v>
      </c>
      <c r="H142" s="55">
        <v>0</v>
      </c>
      <c r="I142" s="55">
        <v>0</v>
      </c>
      <c r="J142" s="28"/>
    </row>
    <row r="143" spans="2:10">
      <c r="B143" s="57" t="s">
        <v>140</v>
      </c>
      <c r="C143" s="54">
        <v>0</v>
      </c>
      <c r="D143" s="54">
        <v>-4623</v>
      </c>
      <c r="E143" s="55">
        <v>0</v>
      </c>
      <c r="F143" s="55">
        <v>0</v>
      </c>
      <c r="G143" s="55">
        <v>0</v>
      </c>
      <c r="H143" s="55">
        <v>0</v>
      </c>
      <c r="I143" s="55">
        <v>0</v>
      </c>
      <c r="J143" s="28"/>
    </row>
    <row r="144" spans="2:10">
      <c r="B144" s="57" t="s">
        <v>141</v>
      </c>
      <c r="C144" s="54">
        <v>-179598</v>
      </c>
      <c r="D144" s="54">
        <v>-192405</v>
      </c>
      <c r="E144" s="54">
        <f>E182</f>
        <v>-223113.09999999998</v>
      </c>
      <c r="F144" s="54">
        <f>F182</f>
        <v>-222625.86499999999</v>
      </c>
      <c r="G144" s="54">
        <f>G182</f>
        <v>-229309.16224999999</v>
      </c>
      <c r="H144" s="54">
        <f>H182</f>
        <v>-233653.30546250002</v>
      </c>
      <c r="I144" s="54">
        <f>I182</f>
        <v>-236476.99855062499</v>
      </c>
      <c r="J144" s="28"/>
    </row>
    <row r="145" spans="2:10">
      <c r="B145" s="57" t="s">
        <v>142</v>
      </c>
      <c r="C145" s="54">
        <v>-32319</v>
      </c>
      <c r="D145" s="54">
        <v>-40867</v>
      </c>
      <c r="E145" s="54">
        <f>E27</f>
        <v>-40116.506849999998</v>
      </c>
      <c r="F145" s="54">
        <f>F27</f>
        <v>-40674.152452499999</v>
      </c>
      <c r="G145" s="54">
        <f>G27</f>
        <v>-41666.622094125007</v>
      </c>
      <c r="H145" s="54">
        <f>H27</f>
        <v>-42311.727361181256</v>
      </c>
      <c r="I145" s="54">
        <f>I27</f>
        <v>-42731.045784767812</v>
      </c>
      <c r="J145" s="28"/>
    </row>
    <row r="146" spans="2:10">
      <c r="B146" s="57" t="s">
        <v>143</v>
      </c>
      <c r="C146" s="54">
        <v>-16749</v>
      </c>
      <c r="D146" s="54">
        <v>0</v>
      </c>
      <c r="E146" s="55">
        <v>0</v>
      </c>
      <c r="F146" s="55">
        <v>0</v>
      </c>
      <c r="G146" s="55">
        <v>0</v>
      </c>
      <c r="H146" s="55">
        <v>0</v>
      </c>
      <c r="I146" s="55">
        <v>0</v>
      </c>
      <c r="J146" s="28"/>
    </row>
    <row r="147" spans="2:10" ht="7" customHeight="1">
      <c r="B147" s="41"/>
      <c r="C147" s="54"/>
      <c r="D147" s="54"/>
      <c r="E147" s="54"/>
      <c r="F147" s="54"/>
      <c r="G147" s="54"/>
      <c r="H147" s="54"/>
      <c r="I147" s="54"/>
      <c r="J147" s="28"/>
    </row>
    <row r="148" spans="2:10">
      <c r="B148" s="119" t="s">
        <v>144</v>
      </c>
      <c r="C148" s="120">
        <f t="shared" ref="C148:I148" si="26">SUM(C140:C146)</f>
        <v>-409193</v>
      </c>
      <c r="D148" s="120">
        <f t="shared" si="26"/>
        <v>-365402</v>
      </c>
      <c r="E148" s="120">
        <f t="shared" si="26"/>
        <v>-263271.60684999998</v>
      </c>
      <c r="F148" s="120">
        <f t="shared" si="26"/>
        <v>-263342.0174525</v>
      </c>
      <c r="G148" s="120">
        <f t="shared" si="26"/>
        <v>-271017.78434412502</v>
      </c>
      <c r="H148" s="120">
        <f t="shared" si="26"/>
        <v>-276007.03282368125</v>
      </c>
      <c r="I148" s="120">
        <f t="shared" si="26"/>
        <v>-279250.04433539283</v>
      </c>
      <c r="J148" s="28"/>
    </row>
    <row r="149" spans="2:10">
      <c r="B149" s="41"/>
      <c r="C149" s="54"/>
      <c r="D149" s="54"/>
      <c r="E149" s="54"/>
      <c r="F149" s="54"/>
      <c r="G149" s="54"/>
      <c r="H149" s="54"/>
      <c r="I149" s="54"/>
      <c r="J149" s="28"/>
    </row>
    <row r="150" spans="2:10">
      <c r="B150" s="139" t="s">
        <v>145</v>
      </c>
      <c r="C150" s="97">
        <f t="shared" ref="C150:I150" si="27">C123+C136+C148</f>
        <v>2284</v>
      </c>
      <c r="D150" s="97">
        <f t="shared" si="27"/>
        <v>71934</v>
      </c>
      <c r="E150" s="97">
        <f t="shared" si="27"/>
        <v>198427.69664731447</v>
      </c>
      <c r="F150" s="97">
        <f t="shared" si="27"/>
        <v>249672.29094799567</v>
      </c>
      <c r="G150" s="97">
        <f t="shared" si="27"/>
        <v>282206.31944895937</v>
      </c>
      <c r="H150" s="97">
        <f t="shared" si="27"/>
        <v>319306.10633231269</v>
      </c>
      <c r="I150" s="97">
        <f t="shared" si="27"/>
        <v>360334.72829253419</v>
      </c>
      <c r="J150" s="28"/>
    </row>
    <row r="151" spans="2:10">
      <c r="B151" s="41" t="s">
        <v>146</v>
      </c>
      <c r="C151" s="54">
        <v>-4047</v>
      </c>
      <c r="D151" s="54">
        <v>933</v>
      </c>
      <c r="E151" s="130">
        <v>0</v>
      </c>
      <c r="F151" s="130">
        <v>0</v>
      </c>
      <c r="G151" s="130">
        <v>0</v>
      </c>
      <c r="H151" s="130">
        <v>0</v>
      </c>
      <c r="I151" s="130">
        <v>0</v>
      </c>
      <c r="J151" s="28"/>
    </row>
    <row r="152" spans="2:10">
      <c r="B152" s="41" t="s">
        <v>147</v>
      </c>
      <c r="C152" s="54">
        <v>83233</v>
      </c>
      <c r="D152" s="54">
        <v>81470</v>
      </c>
      <c r="E152" s="56">
        <f>D153-'LBO Model'!C39</f>
        <v>80000</v>
      </c>
      <c r="F152" s="54">
        <f>E153</f>
        <v>278427.69664731447</v>
      </c>
      <c r="G152" s="54">
        <f>F153</f>
        <v>528099.9875953102</v>
      </c>
      <c r="H152" s="54">
        <f>G153</f>
        <v>810306.30704426952</v>
      </c>
      <c r="I152" s="54">
        <f>H153</f>
        <v>1129612.4133765823</v>
      </c>
      <c r="J152" s="28"/>
    </row>
    <row r="153" spans="2:10" ht="15" thickBot="1">
      <c r="B153" s="121" t="s">
        <v>148</v>
      </c>
      <c r="C153" s="122">
        <f t="shared" ref="C153:I153" si="28">C150+C151+C152</f>
        <v>81470</v>
      </c>
      <c r="D153" s="122">
        <f t="shared" si="28"/>
        <v>154337</v>
      </c>
      <c r="E153" s="122">
        <f t="shared" si="28"/>
        <v>278427.69664731447</v>
      </c>
      <c r="F153" s="122">
        <f t="shared" si="28"/>
        <v>528099.9875953102</v>
      </c>
      <c r="G153" s="122">
        <f t="shared" si="28"/>
        <v>810306.30704426952</v>
      </c>
      <c r="H153" s="122">
        <f t="shared" si="28"/>
        <v>1129612.4133765823</v>
      </c>
      <c r="I153" s="122">
        <f t="shared" si="28"/>
        <v>1489947.1416691164</v>
      </c>
      <c r="J153" s="28" t="s">
        <v>524</v>
      </c>
    </row>
    <row r="154" spans="2:10" ht="15.5" thickTop="1" thickBot="1">
      <c r="C154" s="4"/>
      <c r="D154" s="4"/>
      <c r="E154" s="4"/>
      <c r="F154" s="4"/>
      <c r="G154" s="4"/>
      <c r="H154" s="4"/>
      <c r="I154" s="4"/>
    </row>
    <row r="155" spans="2:10" ht="24" thickTop="1">
      <c r="B155" s="292" t="s">
        <v>31</v>
      </c>
      <c r="C155" s="36"/>
      <c r="D155" s="36"/>
      <c r="E155" s="36"/>
      <c r="F155" s="36"/>
      <c r="G155" s="36"/>
      <c r="H155" s="36"/>
      <c r="I155" s="36"/>
    </row>
    <row r="156" spans="2:10" ht="15" thickBot="1">
      <c r="B156" s="108" t="s">
        <v>581</v>
      </c>
      <c r="C156" s="371">
        <f t="shared" ref="C156:I156" si="29">C$4</f>
        <v>2024</v>
      </c>
      <c r="D156" s="371">
        <f t="shared" si="29"/>
        <v>2025</v>
      </c>
      <c r="E156" s="372">
        <f t="shared" si="29"/>
        <v>2026</v>
      </c>
      <c r="F156" s="372">
        <f t="shared" si="29"/>
        <v>2027</v>
      </c>
      <c r="G156" s="372">
        <f t="shared" si="29"/>
        <v>2028</v>
      </c>
      <c r="H156" s="372">
        <f t="shared" si="29"/>
        <v>2029</v>
      </c>
      <c r="I156" s="372">
        <f t="shared" si="29"/>
        <v>2030</v>
      </c>
    </row>
    <row r="157" spans="2:10">
      <c r="B157" s="41"/>
      <c r="C157" s="41"/>
      <c r="D157" s="41"/>
      <c r="E157" s="41"/>
      <c r="F157" s="41"/>
      <c r="G157" s="41"/>
      <c r="H157" s="41"/>
      <c r="I157" s="41"/>
    </row>
    <row r="158" spans="2:10">
      <c r="B158" s="41" t="s">
        <v>89</v>
      </c>
      <c r="C158" s="54">
        <f>984981-657761</f>
        <v>327220</v>
      </c>
      <c r="D158" s="54">
        <f>1020290-691529</f>
        <v>328761</v>
      </c>
      <c r="E158" s="54">
        <f>D163</f>
        <v>341405</v>
      </c>
      <c r="F158" s="54">
        <f>E163</f>
        <v>372700.41070469265</v>
      </c>
      <c r="G158" s="54">
        <f>F163</f>
        <v>406321.5264752332</v>
      </c>
      <c r="H158" s="54">
        <f>G163</f>
        <v>442304.26220529911</v>
      </c>
      <c r="I158" s="54">
        <f>H163</f>
        <v>480709.70275411714</v>
      </c>
    </row>
    <row r="159" spans="2:10">
      <c r="B159" s="152" t="s">
        <v>4</v>
      </c>
      <c r="C159" s="54">
        <v>106606</v>
      </c>
      <c r="D159" s="54">
        <v>94881</v>
      </c>
      <c r="E159" s="54">
        <f>Assumptions!J63*E6</f>
        <v>122751.71070469261</v>
      </c>
      <c r="F159" s="54">
        <f>Assumptions!K63*F6</f>
        <v>133214.22255376063</v>
      </c>
      <c r="G159" s="54">
        <f>Assumptions!L63*G6</f>
        <v>144317.33261362661</v>
      </c>
      <c r="H159" s="54">
        <f>Assumptions!M63*H6</f>
        <v>156095.54872219582</v>
      </c>
      <c r="I159" s="54">
        <f>Assumptions!N63*I6</f>
        <v>168585.11438726878</v>
      </c>
    </row>
    <row r="160" spans="2:10">
      <c r="B160" s="57" t="s">
        <v>81</v>
      </c>
      <c r="C160" s="54">
        <v>-81466</v>
      </c>
      <c r="D160" s="54">
        <v>-86788</v>
      </c>
      <c r="E160" s="54">
        <f>-E158*Assumptions!J65</f>
        <v>-88765.3</v>
      </c>
      <c r="F160" s="54">
        <f>-F158*Assumptions!K65</f>
        <v>-96902.106783220093</v>
      </c>
      <c r="G160" s="54">
        <f>-G158*Assumptions!L65</f>
        <v>-105643.59688356063</v>
      </c>
      <c r="H160" s="54">
        <f>-H158*Assumptions!M65</f>
        <v>-114999.10817337777</v>
      </c>
      <c r="I160" s="54">
        <f>-I158*Assumptions!N65</f>
        <v>-124984.52271607047</v>
      </c>
    </row>
    <row r="161" spans="2:9">
      <c r="B161" s="57" t="s">
        <v>85</v>
      </c>
      <c r="C161" s="54">
        <f>-43694+41334</f>
        <v>-2360</v>
      </c>
      <c r="D161" s="54">
        <f>-32046+29355</f>
        <v>-2691</v>
      </c>
      <c r="E161" s="54">
        <f>Assumptions!J64</f>
        <v>-2691</v>
      </c>
      <c r="F161" s="54">
        <f>Assumptions!K64</f>
        <v>-2691</v>
      </c>
      <c r="G161" s="54">
        <f>Assumptions!L64</f>
        <v>-2691</v>
      </c>
      <c r="H161" s="54">
        <f>Assumptions!M64</f>
        <v>-2691</v>
      </c>
      <c r="I161" s="54">
        <f>Assumptions!N64</f>
        <v>-2691</v>
      </c>
    </row>
    <row r="162" spans="2:9">
      <c r="B162" s="57" t="s">
        <v>84</v>
      </c>
      <c r="C162" s="54">
        <f>-(C158+C159+C160+C161-C163)</f>
        <v>-21239</v>
      </c>
      <c r="D162" s="54">
        <f>-(SUM(D158:D161)-D163)</f>
        <v>7242</v>
      </c>
      <c r="E162" s="56">
        <f>Assumptions!J66</f>
        <v>0</v>
      </c>
      <c r="F162" s="56">
        <f>Assumptions!K66</f>
        <v>0</v>
      </c>
      <c r="G162" s="56">
        <f>Assumptions!L66</f>
        <v>0</v>
      </c>
      <c r="H162" s="56">
        <f>Assumptions!M66</f>
        <v>0</v>
      </c>
      <c r="I162" s="56">
        <f>Assumptions!N66</f>
        <v>0</v>
      </c>
    </row>
    <row r="163" spans="2:9" ht="15" thickBot="1">
      <c r="B163" s="149" t="s">
        <v>80</v>
      </c>
      <c r="C163" s="142">
        <v>328761</v>
      </c>
      <c r="D163" s="142">
        <v>341405</v>
      </c>
      <c r="E163" s="142">
        <f>SUM(E158:E162)</f>
        <v>372700.41070469265</v>
      </c>
      <c r="F163" s="142">
        <f>SUM(F158:F162)</f>
        <v>406321.5264752332</v>
      </c>
      <c r="G163" s="142">
        <f>SUM(G158:G162)</f>
        <v>442304.26220529911</v>
      </c>
      <c r="H163" s="142">
        <f>SUM(H158:H162)</f>
        <v>480709.70275411714</v>
      </c>
      <c r="I163" s="142">
        <f>SUM(I158:I162)</f>
        <v>521619.29442531546</v>
      </c>
    </row>
    <row r="164" spans="2:9">
      <c r="B164" s="150" t="s">
        <v>88</v>
      </c>
      <c r="C164" s="157">
        <f t="shared" ref="C164:I164" si="30">(C163-C162)/C6</f>
        <v>0.15932620492718566</v>
      </c>
      <c r="D164" s="157">
        <f t="shared" si="30"/>
        <v>0.13319523393657817</v>
      </c>
      <c r="E164" s="151">
        <f t="shared" si="30"/>
        <v>0.13662961098814258</v>
      </c>
      <c r="F164" s="151">
        <f t="shared" si="30"/>
        <v>0.13725613032051825</v>
      </c>
      <c r="G164" s="151">
        <f t="shared" si="30"/>
        <v>0.13791615628405213</v>
      </c>
      <c r="H164" s="151">
        <f t="shared" si="30"/>
        <v>0.13858138044944354</v>
      </c>
      <c r="I164" s="151">
        <f t="shared" si="30"/>
        <v>0.13923452455723942</v>
      </c>
    </row>
    <row r="165" spans="2:9" ht="15" thickBot="1"/>
    <row r="166" spans="2:9" ht="24" thickTop="1">
      <c r="B166" s="292" t="s">
        <v>30</v>
      </c>
      <c r="C166" s="36"/>
      <c r="D166" s="36"/>
      <c r="E166" s="36"/>
      <c r="F166" s="36"/>
      <c r="G166" s="36"/>
      <c r="H166" s="36"/>
      <c r="I166" s="36"/>
    </row>
    <row r="167" spans="2:9" ht="15" thickBot="1">
      <c r="B167" s="158" t="s">
        <v>581</v>
      </c>
      <c r="C167" s="371">
        <f t="shared" ref="C167:I167" si="31">C$4</f>
        <v>2024</v>
      </c>
      <c r="D167" s="371">
        <f t="shared" si="31"/>
        <v>2025</v>
      </c>
      <c r="E167" s="372">
        <f t="shared" si="31"/>
        <v>2026</v>
      </c>
      <c r="F167" s="372">
        <f t="shared" si="31"/>
        <v>2027</v>
      </c>
      <c r="G167" s="372">
        <f t="shared" si="31"/>
        <v>2028</v>
      </c>
      <c r="H167" s="372">
        <f t="shared" si="31"/>
        <v>2029</v>
      </c>
      <c r="I167" s="372">
        <f t="shared" si="31"/>
        <v>2030</v>
      </c>
    </row>
    <row r="168" spans="2:9">
      <c r="B168" s="41"/>
      <c r="C168" s="41"/>
      <c r="D168" s="41"/>
      <c r="E168" s="41"/>
      <c r="F168" s="41"/>
      <c r="G168" s="41"/>
      <c r="H168" s="41"/>
      <c r="I168" s="41"/>
    </row>
    <row r="169" spans="2:9">
      <c r="B169" s="41" t="s">
        <v>79</v>
      </c>
      <c r="C169" s="54">
        <v>498503</v>
      </c>
      <c r="D169" s="54">
        <v>566054</v>
      </c>
      <c r="E169" s="54">
        <f>D174</f>
        <v>610822</v>
      </c>
      <c r="F169" s="54">
        <f>E174</f>
        <v>613747.08000000007</v>
      </c>
      <c r="G169" s="54">
        <f>F174</f>
        <v>635619.13120000006</v>
      </c>
      <c r="H169" s="54">
        <f>G174</f>
        <v>649617.24396800005</v>
      </c>
      <c r="I169" s="54">
        <f>H174</f>
        <v>658576.03613952</v>
      </c>
    </row>
    <row r="170" spans="2:9">
      <c r="B170" s="57" t="s">
        <v>82</v>
      </c>
      <c r="C170" s="54">
        <v>279400</v>
      </c>
      <c r="D170" s="54">
        <v>255162</v>
      </c>
      <c r="E170" s="54">
        <f>Assumptions!J69*Assumptions!J20</f>
        <v>230000</v>
      </c>
      <c r="F170" s="54">
        <f>Assumptions!K69*Assumptions!K20</f>
        <v>250000</v>
      </c>
      <c r="G170" s="54">
        <f>Assumptions!L69*Assumptions!L20</f>
        <v>250000</v>
      </c>
      <c r="H170" s="54">
        <f>Assumptions!M69*Assumptions!M20</f>
        <v>250000</v>
      </c>
      <c r="I170" s="54">
        <f>Assumptions!N69*Assumptions!N20</f>
        <v>250000</v>
      </c>
    </row>
    <row r="171" spans="2:9">
      <c r="B171" s="57" t="s">
        <v>81</v>
      </c>
      <c r="C171" s="54">
        <v>-183810</v>
      </c>
      <c r="D171" s="54">
        <v>-205566</v>
      </c>
      <c r="E171" s="54">
        <f>-E169*Assumptions!J70</f>
        <v>-219895.91999999998</v>
      </c>
      <c r="F171" s="54">
        <f>-F169*Assumptions!K70</f>
        <v>-220948.94880000001</v>
      </c>
      <c r="G171" s="54">
        <f>-G169*Assumptions!L70</f>
        <v>-228822.88723200001</v>
      </c>
      <c r="H171" s="54">
        <f>-H169*Assumptions!M70</f>
        <v>-233862.20782848002</v>
      </c>
      <c r="I171" s="54">
        <f>-I169*Assumptions!N70</f>
        <v>-237087.37301022719</v>
      </c>
    </row>
    <row r="172" spans="2:9">
      <c r="B172" s="57" t="s">
        <v>97</v>
      </c>
      <c r="C172" s="54">
        <v>-16217</v>
      </c>
      <c r="D172" s="54">
        <v>-7179</v>
      </c>
      <c r="E172" s="54">
        <f>Assumptions!J71</f>
        <v>-7179</v>
      </c>
      <c r="F172" s="54">
        <f>Assumptions!K71</f>
        <v>-7179</v>
      </c>
      <c r="G172" s="54">
        <f>Assumptions!L71</f>
        <v>-7179</v>
      </c>
      <c r="H172" s="54">
        <f>Assumptions!M71</f>
        <v>-7179</v>
      </c>
      <c r="I172" s="54">
        <f>Assumptions!N71</f>
        <v>-7179</v>
      </c>
    </row>
    <row r="173" spans="2:9">
      <c r="B173" s="57" t="s">
        <v>98</v>
      </c>
      <c r="C173" s="54">
        <f>-(C169+C170+C171+C172-C174)</f>
        <v>-11822</v>
      </c>
      <c r="D173" s="54">
        <f>-(D169+D170+D171+D172-D174)</f>
        <v>2351</v>
      </c>
      <c r="E173" s="55">
        <v>0</v>
      </c>
      <c r="F173" s="55">
        <v>0</v>
      </c>
      <c r="G173" s="55">
        <v>0</v>
      </c>
      <c r="H173" s="55">
        <v>0</v>
      </c>
      <c r="I173" s="55">
        <v>0</v>
      </c>
    </row>
    <row r="174" spans="2:9" ht="15" thickBot="1">
      <c r="B174" s="149" t="s">
        <v>80</v>
      </c>
      <c r="C174" s="142">
        <v>566054</v>
      </c>
      <c r="D174" s="142">
        <v>610822</v>
      </c>
      <c r="E174" s="142">
        <f>SUM(E169:E173)</f>
        <v>613747.08000000007</v>
      </c>
      <c r="F174" s="142">
        <f>SUM(F169:F173)</f>
        <v>635619.13120000006</v>
      </c>
      <c r="G174" s="142">
        <f>SUM(G169:G173)</f>
        <v>649617.24396800005</v>
      </c>
      <c r="H174" s="142">
        <f>SUM(H169:H173)</f>
        <v>658576.03613952</v>
      </c>
      <c r="I174" s="142">
        <f>SUM(I169:I173)</f>
        <v>664309.66312929278</v>
      </c>
    </row>
    <row r="175" spans="2:9">
      <c r="B175" s="150" t="s">
        <v>101</v>
      </c>
      <c r="C175" s="153">
        <f t="shared" ref="C175:I175" si="32">C169/C6</f>
        <v>0.22692740324233379</v>
      </c>
      <c r="D175" s="153">
        <f t="shared" si="32"/>
        <v>0.22562550297530196</v>
      </c>
      <c r="E175" s="151">
        <f t="shared" si="32"/>
        <v>0.22392347806969679</v>
      </c>
      <c r="F175" s="151">
        <f t="shared" si="32"/>
        <v>0.20732484918308242</v>
      </c>
      <c r="G175" s="151">
        <f t="shared" si="32"/>
        <v>0.19819421815796009</v>
      </c>
      <c r="H175" s="151">
        <f t="shared" si="32"/>
        <v>0.18727488527290259</v>
      </c>
      <c r="I175" s="151">
        <f t="shared" si="32"/>
        <v>0.17579204269600948</v>
      </c>
    </row>
    <row r="176" spans="2:9" ht="15" thickBot="1">
      <c r="B176" s="41"/>
      <c r="C176" s="41"/>
      <c r="D176" s="41"/>
      <c r="E176" s="41"/>
      <c r="F176" s="41"/>
      <c r="G176" s="41"/>
      <c r="H176" s="41"/>
      <c r="I176" s="41"/>
    </row>
    <row r="177" spans="2:9" ht="24" thickTop="1">
      <c r="B177" s="292" t="s">
        <v>96</v>
      </c>
      <c r="C177" s="36"/>
      <c r="D177" s="36"/>
      <c r="E177" s="36"/>
      <c r="F177" s="36"/>
      <c r="G177" s="36"/>
      <c r="H177" s="36"/>
      <c r="I177" s="36"/>
    </row>
    <row r="178" spans="2:9" ht="15" thickBot="1">
      <c r="B178" s="158" t="s">
        <v>581</v>
      </c>
      <c r="C178" s="371">
        <f t="shared" ref="C178:I178" si="33">C$4</f>
        <v>2024</v>
      </c>
      <c r="D178" s="371">
        <f t="shared" si="33"/>
        <v>2025</v>
      </c>
      <c r="E178" s="372">
        <f t="shared" si="33"/>
        <v>2026</v>
      </c>
      <c r="F178" s="372">
        <f t="shared" si="33"/>
        <v>2027</v>
      </c>
      <c r="G178" s="372">
        <f t="shared" si="33"/>
        <v>2028</v>
      </c>
      <c r="H178" s="372">
        <f t="shared" si="33"/>
        <v>2029</v>
      </c>
      <c r="I178" s="372">
        <f t="shared" si="33"/>
        <v>2030</v>
      </c>
    </row>
    <row r="179" spans="2:9">
      <c r="B179" s="41"/>
      <c r="C179" s="41"/>
      <c r="D179" s="41"/>
      <c r="E179" s="41"/>
      <c r="F179" s="41"/>
      <c r="G179" s="41"/>
      <c r="H179" s="41"/>
      <c r="I179" s="41"/>
    </row>
    <row r="180" spans="2:9">
      <c r="B180" s="41" t="s">
        <v>79</v>
      </c>
      <c r="C180" s="54">
        <v>507182</v>
      </c>
      <c r="D180" s="54">
        <v>578831</v>
      </c>
      <c r="E180" s="54">
        <f>D185</f>
        <v>637466</v>
      </c>
      <c r="F180" s="54">
        <f>E185</f>
        <v>636073.9</v>
      </c>
      <c r="G180" s="54">
        <f>F185</f>
        <v>655169.03500000003</v>
      </c>
      <c r="H180" s="54">
        <f>G185</f>
        <v>667580.8727500001</v>
      </c>
      <c r="I180" s="54">
        <f>H185</f>
        <v>675648.56728750002</v>
      </c>
    </row>
    <row r="181" spans="2:9">
      <c r="B181" s="57" t="s">
        <v>82</v>
      </c>
      <c r="C181" s="54">
        <f>C170</f>
        <v>279400</v>
      </c>
      <c r="D181" s="54">
        <f>D170</f>
        <v>255162</v>
      </c>
      <c r="E181" s="54">
        <f>E170+E132</f>
        <v>228900</v>
      </c>
      <c r="F181" s="54">
        <f>F170+F132</f>
        <v>248900</v>
      </c>
      <c r="G181" s="54">
        <f>G170+G132</f>
        <v>248900</v>
      </c>
      <c r="H181" s="54">
        <f>H170+H132</f>
        <v>248900</v>
      </c>
      <c r="I181" s="54">
        <f>I170+I132</f>
        <v>248900</v>
      </c>
    </row>
    <row r="182" spans="2:9">
      <c r="B182" s="57" t="s">
        <v>102</v>
      </c>
      <c r="C182" s="54">
        <v>-179598</v>
      </c>
      <c r="D182" s="54">
        <v>-192405</v>
      </c>
      <c r="E182" s="54">
        <f>-E180*Assumptions!J74</f>
        <v>-223113.09999999998</v>
      </c>
      <c r="F182" s="54">
        <f>-F180*Assumptions!K74</f>
        <v>-222625.86499999999</v>
      </c>
      <c r="G182" s="54">
        <f>-G180*Assumptions!L74</f>
        <v>-229309.16224999999</v>
      </c>
      <c r="H182" s="54">
        <f>-H180*Assumptions!M74</f>
        <v>-233653.30546250002</v>
      </c>
      <c r="I182" s="54">
        <f>-I180*Assumptions!N74</f>
        <v>-236476.99855062499</v>
      </c>
    </row>
    <row r="183" spans="2:9">
      <c r="B183" s="57" t="s">
        <v>97</v>
      </c>
      <c r="C183" s="54">
        <f t="shared" ref="C183:I183" si="34">C172</f>
        <v>-16217</v>
      </c>
      <c r="D183" s="54">
        <f t="shared" si="34"/>
        <v>-7179</v>
      </c>
      <c r="E183" s="54">
        <f t="shared" si="34"/>
        <v>-7179</v>
      </c>
      <c r="F183" s="54">
        <f t="shared" si="34"/>
        <v>-7179</v>
      </c>
      <c r="G183" s="54">
        <f t="shared" si="34"/>
        <v>-7179</v>
      </c>
      <c r="H183" s="54">
        <f t="shared" si="34"/>
        <v>-7179</v>
      </c>
      <c r="I183" s="54">
        <f t="shared" si="34"/>
        <v>-7179</v>
      </c>
    </row>
    <row r="184" spans="2:9">
      <c r="B184" s="57" t="s">
        <v>98</v>
      </c>
      <c r="C184" s="54">
        <f>C185-(C180+C181+C182+C183)</f>
        <v>-11936</v>
      </c>
      <c r="D184" s="54">
        <f>D185-(D180+D181+D182+D183)</f>
        <v>3057</v>
      </c>
      <c r="E184" s="55">
        <v>0</v>
      </c>
      <c r="F184" s="55">
        <v>0</v>
      </c>
      <c r="G184" s="55">
        <v>0</v>
      </c>
      <c r="H184" s="55">
        <v>0</v>
      </c>
      <c r="I184" s="55">
        <v>0</v>
      </c>
    </row>
    <row r="185" spans="2:9" ht="15" thickBot="1">
      <c r="B185" s="149" t="s">
        <v>80</v>
      </c>
      <c r="C185" s="142">
        <v>578831</v>
      </c>
      <c r="D185" s="142">
        <v>637466</v>
      </c>
      <c r="E185" s="142">
        <f>SUM(E180:E184)</f>
        <v>636073.9</v>
      </c>
      <c r="F185" s="142">
        <f>SUM(F180:F184)</f>
        <v>655169.03500000003</v>
      </c>
      <c r="G185" s="142">
        <f>SUM(G180:G184)</f>
        <v>667580.8727500001</v>
      </c>
      <c r="H185" s="142">
        <f>SUM(H180:H184)</f>
        <v>675648.56728750002</v>
      </c>
      <c r="I185" s="142">
        <f>SUM(I180:I184)</f>
        <v>680892.56873687496</v>
      </c>
    </row>
    <row r="186" spans="2:9">
      <c r="B186" s="41"/>
      <c r="C186" s="154"/>
      <c r="D186" s="154"/>
      <c r="E186" s="54"/>
      <c r="F186" s="54"/>
      <c r="G186" s="54"/>
      <c r="H186" s="54"/>
      <c r="I186" s="54"/>
    </row>
    <row r="187" spans="2:9">
      <c r="B187" s="41" t="s">
        <v>103</v>
      </c>
      <c r="C187" s="54">
        <v>189590</v>
      </c>
      <c r="D187" s="54">
        <v>208169</v>
      </c>
      <c r="E187" s="54">
        <f>E185*Assumptions!J75</f>
        <v>209904.38700000002</v>
      </c>
      <c r="F187" s="54">
        <f>F185*Assumptions!K75</f>
        <v>216205.78155000001</v>
      </c>
      <c r="G187" s="54">
        <f>G185*Assumptions!L75</f>
        <v>220301.68800750005</v>
      </c>
      <c r="H187" s="54">
        <f>H185*Assumptions!M75</f>
        <v>222964.02720487502</v>
      </c>
      <c r="I187" s="54">
        <f>I185*Assumptions!N75</f>
        <v>224694.54768316876</v>
      </c>
    </row>
    <row r="188" spans="2:9">
      <c r="B188" s="41" t="s">
        <v>104</v>
      </c>
      <c r="C188" s="54">
        <f>C185-C187</f>
        <v>389241</v>
      </c>
      <c r="D188" s="54">
        <f t="shared" ref="D188:I188" si="35">D185-D187</f>
        <v>429297</v>
      </c>
      <c r="E188" s="54">
        <f t="shared" si="35"/>
        <v>426169.51300000004</v>
      </c>
      <c r="F188" s="54">
        <f t="shared" si="35"/>
        <v>438963.25345000002</v>
      </c>
      <c r="G188" s="54">
        <f t="shared" si="35"/>
        <v>447279.18474250007</v>
      </c>
      <c r="H188" s="54">
        <f t="shared" si="35"/>
        <v>452684.540082625</v>
      </c>
      <c r="I188" s="54">
        <f t="shared" si="35"/>
        <v>456198.02105370618</v>
      </c>
    </row>
    <row r="189" spans="2:9">
      <c r="B189" s="98" t="s">
        <v>599</v>
      </c>
      <c r="C189" s="155">
        <f t="shared" ref="C189:I189" si="36">C187/C185</f>
        <v>0.32753947179746767</v>
      </c>
      <c r="D189" s="155">
        <f t="shared" si="36"/>
        <v>0.32655702421776223</v>
      </c>
      <c r="E189" s="156">
        <f t="shared" si="36"/>
        <v>0.33</v>
      </c>
      <c r="F189" s="156">
        <f t="shared" si="36"/>
        <v>0.33</v>
      </c>
      <c r="G189" s="156">
        <f t="shared" si="36"/>
        <v>0.33</v>
      </c>
      <c r="H189" s="156">
        <f t="shared" si="36"/>
        <v>0.33</v>
      </c>
      <c r="I189" s="156">
        <f t="shared" si="36"/>
        <v>0.33</v>
      </c>
    </row>
    <row r="190" spans="2:9" ht="15" thickBot="1"/>
    <row r="191" spans="2:9" ht="24" thickTop="1">
      <c r="B191" s="292" t="s">
        <v>32</v>
      </c>
      <c r="C191" s="36"/>
      <c r="D191" s="36"/>
      <c r="E191" s="36"/>
      <c r="F191" s="36"/>
      <c r="G191" s="36"/>
      <c r="H191" s="36"/>
      <c r="I191" s="36"/>
    </row>
    <row r="192" spans="2:9" ht="15" thickBot="1">
      <c r="B192" s="158" t="s">
        <v>581</v>
      </c>
      <c r="C192" s="371">
        <f t="shared" ref="C192:I192" si="37">C$4</f>
        <v>2024</v>
      </c>
      <c r="D192" s="371">
        <f t="shared" si="37"/>
        <v>2025</v>
      </c>
      <c r="E192" s="372">
        <f t="shared" si="37"/>
        <v>2026</v>
      </c>
      <c r="F192" s="372">
        <f t="shared" si="37"/>
        <v>2027</v>
      </c>
      <c r="G192" s="372">
        <f t="shared" si="37"/>
        <v>2028</v>
      </c>
      <c r="H192" s="372">
        <f t="shared" si="37"/>
        <v>2029</v>
      </c>
      <c r="I192" s="372">
        <f t="shared" si="37"/>
        <v>2030</v>
      </c>
    </row>
    <row r="193" spans="2:9">
      <c r="B193" s="41"/>
      <c r="C193" s="41"/>
      <c r="D193" s="41"/>
      <c r="E193" s="41"/>
      <c r="F193" s="41"/>
      <c r="G193" s="41"/>
      <c r="H193" s="41"/>
      <c r="I193" s="41"/>
    </row>
    <row r="194" spans="2:9">
      <c r="B194" s="41" t="s">
        <v>325</v>
      </c>
      <c r="C194" s="54">
        <f>122486-55062</f>
        <v>67424</v>
      </c>
      <c r="D194" s="54">
        <v>59201</v>
      </c>
      <c r="E194" s="54">
        <f>D199</f>
        <v>63312</v>
      </c>
      <c r="F194" s="54">
        <f>E199</f>
        <v>65024.494760625676</v>
      </c>
      <c r="G194" s="54">
        <f>F199</f>
        <v>67789.492149001962</v>
      </c>
      <c r="H194" s="54">
        <f>G199</f>
        <v>71481.904734351789</v>
      </c>
      <c r="I194" s="54">
        <f>H199</f>
        <v>76006.263617107543</v>
      </c>
    </row>
    <row r="195" spans="2:9">
      <c r="B195" s="152" t="s">
        <v>4</v>
      </c>
      <c r="C195" s="54">
        <v>17199</v>
      </c>
      <c r="D195" s="54">
        <v>12215</v>
      </c>
      <c r="E195" s="54">
        <f>E6*Assumptions!J81</f>
        <v>16366.894760625682</v>
      </c>
      <c r="F195" s="54">
        <f>F6*Assumptions!K81</f>
        <v>17761.896340501418</v>
      </c>
      <c r="G195" s="54">
        <f>G6*Assumptions!L81</f>
        <v>19242.311015150215</v>
      </c>
      <c r="H195" s="54">
        <f>H6*Assumptions!M81</f>
        <v>20812.739829626113</v>
      </c>
      <c r="I195" s="54">
        <f>I6*Assumptions!N81</f>
        <v>22478.015251635839</v>
      </c>
    </row>
    <row r="196" spans="2:9">
      <c r="B196" s="57" t="s">
        <v>91</v>
      </c>
      <c r="C196" s="54">
        <v>-12682</v>
      </c>
      <c r="D196" s="54">
        <v>-14545</v>
      </c>
      <c r="E196" s="54">
        <f>-E194*Assumptions!J83</f>
        <v>-12662.400000000001</v>
      </c>
      <c r="F196" s="54">
        <f>-F194*Assumptions!K83</f>
        <v>-13004.898952125135</v>
      </c>
      <c r="G196" s="54">
        <f>-G194*Assumptions!L83</f>
        <v>-13557.898429800392</v>
      </c>
      <c r="H196" s="54">
        <f>-H194*Assumptions!M83</f>
        <v>-14296.380946870358</v>
      </c>
      <c r="I196" s="54">
        <f>-I194*Assumptions!N83</f>
        <v>-15201.252723421509</v>
      </c>
    </row>
    <row r="197" spans="2:9">
      <c r="B197" s="57" t="s">
        <v>85</v>
      </c>
      <c r="C197" s="54">
        <f>-4292+1739</f>
        <v>-2553</v>
      </c>
      <c r="D197" s="54">
        <f>-4343+2351</f>
        <v>-1992</v>
      </c>
      <c r="E197" s="54">
        <f>Assumptions!J82</f>
        <v>-1992</v>
      </c>
      <c r="F197" s="54">
        <f>Assumptions!K82</f>
        <v>-1992</v>
      </c>
      <c r="G197" s="54">
        <f>Assumptions!L82</f>
        <v>-1992</v>
      </c>
      <c r="H197" s="54">
        <f>Assumptions!M82</f>
        <v>-1992</v>
      </c>
      <c r="I197" s="54">
        <f>Assumptions!N82</f>
        <v>-1992</v>
      </c>
    </row>
    <row r="198" spans="2:9">
      <c r="B198" s="58" t="s">
        <v>84</v>
      </c>
      <c r="C198" s="60">
        <f>C199-(SUM(C194:C197))</f>
        <v>-10187</v>
      </c>
      <c r="D198" s="60">
        <f>D199-(SUM(D194:D197))</f>
        <v>8433</v>
      </c>
      <c r="E198" s="88">
        <v>0</v>
      </c>
      <c r="F198" s="88">
        <v>0</v>
      </c>
      <c r="G198" s="88">
        <v>0</v>
      </c>
      <c r="H198" s="88">
        <v>0</v>
      </c>
      <c r="I198" s="88">
        <v>0</v>
      </c>
    </row>
    <row r="199" spans="2:9">
      <c r="B199" s="63" t="s">
        <v>585</v>
      </c>
      <c r="C199" s="54">
        <v>59201</v>
      </c>
      <c r="D199" s="54">
        <v>63312</v>
      </c>
      <c r="E199" s="54">
        <f>E194+E195+E196+E197+E198</f>
        <v>65024.494760625676</v>
      </c>
      <c r="F199" s="54">
        <f>F194+F195+F196+F197+F198</f>
        <v>67789.492149001962</v>
      </c>
      <c r="G199" s="54">
        <f>G194+G195+G196+G197+G198</f>
        <v>71481.904734351789</v>
      </c>
      <c r="H199" s="54">
        <f>H194+H195+H196+H197+H198</f>
        <v>76006.263617107543</v>
      </c>
      <c r="I199" s="54">
        <f>I194+I195+I196+I197+I198</f>
        <v>81291.02614532187</v>
      </c>
    </row>
    <row r="200" spans="2:9">
      <c r="B200" s="47"/>
      <c r="C200" s="54"/>
      <c r="D200" s="54"/>
      <c r="E200" s="54"/>
      <c r="F200" s="54"/>
      <c r="G200" s="54"/>
      <c r="H200" s="54"/>
      <c r="I200" s="54"/>
    </row>
    <row r="201" spans="2:9">
      <c r="B201" s="41" t="s">
        <v>326</v>
      </c>
      <c r="C201" s="54">
        <v>0</v>
      </c>
      <c r="D201" s="54">
        <v>0</v>
      </c>
      <c r="E201" s="54">
        <f>D204</f>
        <v>0</v>
      </c>
      <c r="F201" s="54">
        <f>E204</f>
        <v>20598.555555555555</v>
      </c>
      <c r="G201" s="54">
        <f>F204</f>
        <v>20323.908148148148</v>
      </c>
      <c r="H201" s="54">
        <f>G204</f>
        <v>20052.922706172838</v>
      </c>
      <c r="I201" s="54">
        <f>H204</f>
        <v>19785.550403423866</v>
      </c>
    </row>
    <row r="202" spans="2:9">
      <c r="B202" s="57" t="s">
        <v>82</v>
      </c>
      <c r="C202" s="54">
        <v>0</v>
      </c>
      <c r="D202" s="54">
        <v>0</v>
      </c>
      <c r="E202" s="54">
        <f>Assumptions!J85</f>
        <v>20830</v>
      </c>
      <c r="F202" s="54">
        <f>Assumptions!K85</f>
        <v>0</v>
      </c>
      <c r="G202" s="54">
        <f>Assumptions!L85</f>
        <v>0</v>
      </c>
      <c r="H202" s="54">
        <f>Assumptions!M85</f>
        <v>0</v>
      </c>
      <c r="I202" s="54">
        <f>Assumptions!N85</f>
        <v>0</v>
      </c>
    </row>
    <row r="203" spans="2:9">
      <c r="B203" s="58" t="s">
        <v>327</v>
      </c>
      <c r="C203" s="60">
        <v>0</v>
      </c>
      <c r="D203" s="60">
        <v>0</v>
      </c>
      <c r="E203" s="60">
        <f>-(E202*Assumptions!J86)</f>
        <v>-231.44444444444446</v>
      </c>
      <c r="F203" s="60">
        <f>(-F201*Assumptions!K86)</f>
        <v>-274.6474074074074</v>
      </c>
      <c r="G203" s="60">
        <f>(-G201*Assumptions!L86)</f>
        <v>-270.98544197530867</v>
      </c>
      <c r="H203" s="60">
        <f>(-H201*Assumptions!M86)</f>
        <v>-267.37230274897121</v>
      </c>
      <c r="I203" s="60">
        <f>(-I201*Assumptions!N86)</f>
        <v>-263.8073387123182</v>
      </c>
    </row>
    <row r="204" spans="2:9">
      <c r="B204" s="47" t="s">
        <v>328</v>
      </c>
      <c r="C204" s="54">
        <v>0</v>
      </c>
      <c r="D204" s="54">
        <v>0</v>
      </c>
      <c r="E204" s="54">
        <f>E201+E202+E203</f>
        <v>20598.555555555555</v>
      </c>
      <c r="F204" s="54">
        <f>F201+F202+F203</f>
        <v>20323.908148148148</v>
      </c>
      <c r="G204" s="54">
        <f>G201+G202+G203</f>
        <v>20052.922706172838</v>
      </c>
      <c r="H204" s="54">
        <f>H201+H202+H203</f>
        <v>19785.550403423866</v>
      </c>
      <c r="I204" s="54">
        <f>I201+I202+I203</f>
        <v>19521.743064711547</v>
      </c>
    </row>
    <row r="205" spans="2:9">
      <c r="B205" s="47"/>
      <c r="C205" s="54"/>
      <c r="D205" s="54"/>
      <c r="E205" s="54"/>
      <c r="F205" s="54"/>
      <c r="G205" s="54"/>
      <c r="H205" s="54"/>
      <c r="I205" s="54"/>
    </row>
    <row r="206" spans="2:9" ht="15" thickBot="1">
      <c r="B206" s="149" t="s">
        <v>329</v>
      </c>
      <c r="C206" s="142">
        <f>C199+C204</f>
        <v>59201</v>
      </c>
      <c r="D206" s="142">
        <f t="shared" ref="D206:I206" si="38">D199+D204</f>
        <v>63312</v>
      </c>
      <c r="E206" s="142">
        <f t="shared" si="38"/>
        <v>85623.050316181238</v>
      </c>
      <c r="F206" s="142">
        <f t="shared" si="38"/>
        <v>88113.400297150103</v>
      </c>
      <c r="G206" s="142">
        <f>G199+G204</f>
        <v>91534.827440524619</v>
      </c>
      <c r="H206" s="142">
        <f t="shared" si="38"/>
        <v>95791.814020531412</v>
      </c>
      <c r="I206" s="142">
        <f t="shared" si="38"/>
        <v>100812.76921003341</v>
      </c>
    </row>
    <row r="207" spans="2:9">
      <c r="B207" s="150" t="s">
        <v>90</v>
      </c>
      <c r="C207" s="151">
        <f t="shared" ref="C207:I207" si="39">(C199-C198)/C19</f>
        <v>0.33760193059961469</v>
      </c>
      <c r="D207" s="151">
        <f t="shared" si="39"/>
        <v>0.1901967851721437</v>
      </c>
      <c r="E207" s="151">
        <f t="shared" si="39"/>
        <v>0.20544951889754429</v>
      </c>
      <c r="F207" s="151">
        <f t="shared" si="39"/>
        <v>0.18749133274845098</v>
      </c>
      <c r="G207" s="151">
        <f t="shared" si="39"/>
        <v>0.17764828153687257</v>
      </c>
      <c r="H207" s="151">
        <f t="shared" si="39"/>
        <v>0.16937043073575472</v>
      </c>
      <c r="I207" s="151">
        <f t="shared" si="39"/>
        <v>0.16262466811724091</v>
      </c>
    </row>
    <row r="208" spans="2:9" ht="15" thickBot="1"/>
    <row r="209" spans="2:9" ht="24" thickTop="1">
      <c r="B209" s="292" t="s">
        <v>78</v>
      </c>
      <c r="C209" s="36"/>
      <c r="D209" s="36"/>
      <c r="E209" s="36"/>
      <c r="F209" s="36"/>
      <c r="G209" s="36"/>
      <c r="H209" s="36"/>
      <c r="I209" s="36"/>
    </row>
    <row r="210" spans="2:9" ht="15" thickBot="1">
      <c r="B210" s="158" t="s">
        <v>581</v>
      </c>
      <c r="C210" s="371">
        <f t="shared" ref="C210:I210" si="40">C$4</f>
        <v>2024</v>
      </c>
      <c r="D210" s="371">
        <f t="shared" si="40"/>
        <v>2025</v>
      </c>
      <c r="E210" s="372">
        <f t="shared" si="40"/>
        <v>2026</v>
      </c>
      <c r="F210" s="372">
        <f t="shared" si="40"/>
        <v>2027</v>
      </c>
      <c r="G210" s="372">
        <f t="shared" si="40"/>
        <v>2028</v>
      </c>
      <c r="H210" s="372">
        <f t="shared" si="40"/>
        <v>2029</v>
      </c>
      <c r="I210" s="372">
        <f t="shared" si="40"/>
        <v>2030</v>
      </c>
    </row>
    <row r="211" spans="2:9">
      <c r="B211" s="41"/>
      <c r="C211" s="146"/>
      <c r="D211" s="146"/>
      <c r="E211" s="147"/>
      <c r="F211" s="147"/>
      <c r="G211" s="147"/>
      <c r="H211" s="147"/>
      <c r="I211" s="147"/>
    </row>
    <row r="212" spans="2:9">
      <c r="B212" s="48" t="s">
        <v>61</v>
      </c>
      <c r="C212" s="54">
        <v>34582</v>
      </c>
      <c r="D212" s="54">
        <v>51656</v>
      </c>
      <c r="E212" s="54">
        <f>E6*Assumptions!J46/365</f>
        <v>56051.009454197541</v>
      </c>
      <c r="F212" s="54">
        <f>F6*Assumptions!K46/365</f>
        <v>60828.412125004856</v>
      </c>
      <c r="G212" s="54">
        <f>G6*Assumptions!L46/365</f>
        <v>65898.32539435006</v>
      </c>
      <c r="H212" s="54">
        <f>H6*Assumptions!M46/365</f>
        <v>71276.506265842836</v>
      </c>
      <c r="I212" s="54">
        <f>I6*Assumptions!N46/365</f>
        <v>76979.504286424111</v>
      </c>
    </row>
    <row r="213" spans="2:9">
      <c r="B213" s="48" t="s">
        <v>64</v>
      </c>
      <c r="C213" s="54">
        <v>36412</v>
      </c>
      <c r="D213" s="54">
        <v>38012</v>
      </c>
      <c r="E213" s="54">
        <f>Assumptions!J47*$E$6</f>
        <v>40917.236901564203</v>
      </c>
      <c r="F213" s="54">
        <f>Assumptions!K47*F6</f>
        <v>44404.740851253548</v>
      </c>
      <c r="G213" s="54">
        <f>Assumptions!L47*G6</f>
        <v>48105.77753787554</v>
      </c>
      <c r="H213" s="54">
        <f>Assumptions!M47*H6</f>
        <v>52031.84957406528</v>
      </c>
      <c r="I213" s="54">
        <f>Assumptions!N47*I6</f>
        <v>56195.038129089597</v>
      </c>
    </row>
    <row r="214" spans="2:9">
      <c r="B214" s="48" t="s">
        <v>65</v>
      </c>
      <c r="C214" s="54">
        <v>2320</v>
      </c>
      <c r="D214" s="54">
        <v>1612</v>
      </c>
      <c r="E214" s="54">
        <f>Assumptions!J48</f>
        <v>1612</v>
      </c>
      <c r="F214" s="54">
        <f>Assumptions!K48</f>
        <v>1612</v>
      </c>
      <c r="G214" s="54">
        <f>Assumptions!L48</f>
        <v>1612</v>
      </c>
      <c r="H214" s="54">
        <f>Assumptions!M48</f>
        <v>1612</v>
      </c>
      <c r="I214" s="54">
        <f>Assumptions!N48</f>
        <v>1612</v>
      </c>
    </row>
    <row r="215" spans="2:9">
      <c r="B215" s="48" t="s">
        <v>66</v>
      </c>
      <c r="C215" s="54">
        <v>15373</v>
      </c>
      <c r="D215" s="54">
        <v>16100</v>
      </c>
      <c r="E215" s="54">
        <f>Assumptions!J49</f>
        <v>16100</v>
      </c>
      <c r="F215" s="54">
        <f>Assumptions!K49</f>
        <v>16100</v>
      </c>
      <c r="G215" s="54">
        <f>Assumptions!L49</f>
        <v>16100</v>
      </c>
      <c r="H215" s="54">
        <f>Assumptions!M49</f>
        <v>16100</v>
      </c>
      <c r="I215" s="54">
        <f>Assumptions!N49</f>
        <v>16100</v>
      </c>
    </row>
    <row r="216" spans="2:9">
      <c r="B216" s="48" t="s">
        <v>67</v>
      </c>
      <c r="C216" s="54">
        <v>13898</v>
      </c>
      <c r="D216" s="54">
        <v>15396</v>
      </c>
      <c r="E216" s="54">
        <f>Assumptions!J50*E$6</f>
        <v>16366.894760625682</v>
      </c>
      <c r="F216" s="54">
        <f>Assumptions!K50*F$6</f>
        <v>17761.896340501418</v>
      </c>
      <c r="G216" s="54">
        <f>Assumptions!L50*G$6</f>
        <v>19242.311015150215</v>
      </c>
      <c r="H216" s="54">
        <f>Assumptions!M50*H$6</f>
        <v>20812.739829626113</v>
      </c>
      <c r="I216" s="54">
        <f>Assumptions!N50*I$6</f>
        <v>22478.015251635839</v>
      </c>
    </row>
    <row r="217" spans="2:9">
      <c r="B217" s="48" t="s">
        <v>68</v>
      </c>
      <c r="C217" s="54">
        <v>433</v>
      </c>
      <c r="D217" s="54">
        <v>410</v>
      </c>
      <c r="E217" s="54">
        <f>Assumptions!J51</f>
        <v>410</v>
      </c>
      <c r="F217" s="54">
        <f>Assumptions!K51</f>
        <v>410</v>
      </c>
      <c r="G217" s="54">
        <f>Assumptions!L51</f>
        <v>410</v>
      </c>
      <c r="H217" s="54">
        <f>Assumptions!M51</f>
        <v>410</v>
      </c>
      <c r="I217" s="54">
        <f>Assumptions!N51</f>
        <v>410</v>
      </c>
    </row>
    <row r="218" spans="2:9">
      <c r="B218" s="48" t="s">
        <v>69</v>
      </c>
      <c r="C218" s="54">
        <v>2330</v>
      </c>
      <c r="D218" s="54">
        <v>2553</v>
      </c>
      <c r="E218" s="54">
        <f>Assumptions!J52</f>
        <v>2553</v>
      </c>
      <c r="F218" s="54">
        <f>Assumptions!K52</f>
        <v>2553</v>
      </c>
      <c r="G218" s="54">
        <f>Assumptions!L52</f>
        <v>2553</v>
      </c>
      <c r="H218" s="54">
        <f>Assumptions!M52</f>
        <v>2553</v>
      </c>
      <c r="I218" s="54">
        <f>Assumptions!N52</f>
        <v>2553</v>
      </c>
    </row>
    <row r="219" spans="2:9">
      <c r="B219" s="48" t="s">
        <v>70</v>
      </c>
      <c r="C219" s="54">
        <v>5371</v>
      </c>
      <c r="D219" s="54">
        <v>4558</v>
      </c>
      <c r="E219" s="54">
        <f>Assumptions!J53</f>
        <v>4558</v>
      </c>
      <c r="F219" s="54">
        <f>Assumptions!K53</f>
        <v>4558</v>
      </c>
      <c r="G219" s="54">
        <f>Assumptions!L53</f>
        <v>4558</v>
      </c>
      <c r="H219" s="54">
        <f>Assumptions!M53</f>
        <v>4558</v>
      </c>
      <c r="I219" s="54">
        <f>Assumptions!N53</f>
        <v>4558</v>
      </c>
    </row>
    <row r="220" spans="2:9">
      <c r="B220" s="48" t="s">
        <v>71</v>
      </c>
      <c r="C220" s="54">
        <v>7200</v>
      </c>
      <c r="D220" s="54">
        <v>8494</v>
      </c>
      <c r="E220" s="54">
        <f>Assumptions!J54</f>
        <v>8494</v>
      </c>
      <c r="F220" s="54">
        <f>Assumptions!K54</f>
        <v>8494</v>
      </c>
      <c r="G220" s="54">
        <f>Assumptions!L54</f>
        <v>8494</v>
      </c>
      <c r="H220" s="54">
        <f>Assumptions!M54</f>
        <v>8494</v>
      </c>
      <c r="I220" s="54">
        <f>Assumptions!N54</f>
        <v>8494</v>
      </c>
    </row>
    <row r="221" spans="2:9">
      <c r="B221" s="48"/>
      <c r="C221" s="54"/>
      <c r="D221" s="54"/>
      <c r="E221" s="54"/>
      <c r="F221" s="54"/>
      <c r="G221" s="54"/>
      <c r="H221" s="54"/>
      <c r="I221" s="54"/>
    </row>
    <row r="222" spans="2:9" ht="15" thickBot="1">
      <c r="B222" s="148" t="s">
        <v>75</v>
      </c>
      <c r="C222" s="142">
        <f>SUM(C212:C220)</f>
        <v>117919</v>
      </c>
      <c r="D222" s="142">
        <f t="shared" ref="D222:I222" si="41">SUM(D212:D220)</f>
        <v>138791</v>
      </c>
      <c r="E222" s="142">
        <f t="shared" si="41"/>
        <v>147062.14111638744</v>
      </c>
      <c r="F222" s="142">
        <f t="shared" si="41"/>
        <v>156722.0493167598</v>
      </c>
      <c r="G222" s="142">
        <f t="shared" si="41"/>
        <v>166973.41394737581</v>
      </c>
      <c r="H222" s="142">
        <f t="shared" si="41"/>
        <v>177848.09566953423</v>
      </c>
      <c r="I222" s="142">
        <f t="shared" si="41"/>
        <v>189379.55766714955</v>
      </c>
    </row>
    <row r="223" spans="2:9">
      <c r="B223" s="48" t="s">
        <v>76</v>
      </c>
      <c r="C223" s="54">
        <v>7498</v>
      </c>
      <c r="D223" s="54">
        <v>10784</v>
      </c>
      <c r="E223" s="54">
        <f>Assumptions!J55</f>
        <v>7500</v>
      </c>
      <c r="F223" s="54">
        <f>Assumptions!K55</f>
        <v>7500</v>
      </c>
      <c r="G223" s="54">
        <f>Assumptions!L55</f>
        <v>7500</v>
      </c>
      <c r="H223" s="54">
        <f>Assumptions!M55</f>
        <v>7500</v>
      </c>
      <c r="I223" s="54">
        <f>Assumptions!N55</f>
        <v>7500</v>
      </c>
    </row>
    <row r="224" spans="2:9">
      <c r="B224" s="96" t="s">
        <v>77</v>
      </c>
      <c r="C224" s="97">
        <f t="shared" ref="C224:I224" si="42">C222-C223</f>
        <v>110421</v>
      </c>
      <c r="D224" s="97">
        <f t="shared" si="42"/>
        <v>128007</v>
      </c>
      <c r="E224" s="97">
        <f t="shared" si="42"/>
        <v>139562.14111638744</v>
      </c>
      <c r="F224" s="97">
        <f t="shared" si="42"/>
        <v>149222.0493167598</v>
      </c>
      <c r="G224" s="97">
        <f t="shared" si="42"/>
        <v>159473.41394737581</v>
      </c>
      <c r="H224" s="97">
        <f t="shared" si="42"/>
        <v>170348.09566953423</v>
      </c>
      <c r="I224" s="97">
        <f t="shared" si="42"/>
        <v>181879.55766714955</v>
      </c>
    </row>
    <row r="225" spans="2:10" ht="15" thickBot="1"/>
    <row r="226" spans="2:10" ht="24" thickTop="1">
      <c r="B226" s="292" t="s">
        <v>286</v>
      </c>
      <c r="C226" s="36"/>
      <c r="D226" s="36"/>
      <c r="E226" s="36"/>
      <c r="F226" s="36"/>
      <c r="G226" s="36"/>
      <c r="H226" s="36"/>
      <c r="I226" s="36"/>
      <c r="J226" s="41"/>
    </row>
    <row r="227" spans="2:10" ht="15" thickBot="1">
      <c r="B227" s="158" t="s">
        <v>581</v>
      </c>
      <c r="C227" s="371">
        <f t="shared" ref="C227:I227" si="43">C$4</f>
        <v>2024</v>
      </c>
      <c r="D227" s="371">
        <f t="shared" si="43"/>
        <v>2025</v>
      </c>
      <c r="E227" s="372">
        <f t="shared" si="43"/>
        <v>2026</v>
      </c>
      <c r="F227" s="372">
        <f t="shared" si="43"/>
        <v>2027</v>
      </c>
      <c r="G227" s="372">
        <f t="shared" si="43"/>
        <v>2028</v>
      </c>
      <c r="H227" s="372">
        <f t="shared" si="43"/>
        <v>2029</v>
      </c>
      <c r="I227" s="372">
        <f t="shared" si="43"/>
        <v>2030</v>
      </c>
      <c r="J227" s="41"/>
    </row>
    <row r="228" spans="2:10" ht="5" customHeight="1">
      <c r="B228" s="41"/>
      <c r="C228" s="41"/>
      <c r="D228" s="41"/>
      <c r="E228" s="140"/>
      <c r="F228" s="140"/>
      <c r="G228" s="140"/>
      <c r="H228" s="140"/>
      <c r="I228" s="140"/>
      <c r="J228" s="41"/>
    </row>
    <row r="229" spans="2:10">
      <c r="B229" s="48" t="s">
        <v>79</v>
      </c>
      <c r="C229" s="54">
        <v>68561</v>
      </c>
      <c r="D229" s="54">
        <f>C64</f>
        <v>68375</v>
      </c>
      <c r="E229" s="54">
        <f>D235</f>
        <v>70745</v>
      </c>
      <c r="F229" s="54">
        <f>E235</f>
        <v>73001.765499999994</v>
      </c>
      <c r="G229" s="54">
        <f>F235</f>
        <v>75330.52181944999</v>
      </c>
      <c r="H229" s="54">
        <f>G235</f>
        <v>77733.56546549045</v>
      </c>
      <c r="I229" s="54">
        <f>H235</f>
        <v>80213.266203839594</v>
      </c>
      <c r="J229" s="41"/>
    </row>
    <row r="230" spans="2:10">
      <c r="B230" s="57" t="s">
        <v>293</v>
      </c>
      <c r="C230" s="54">
        <v>10220</v>
      </c>
      <c r="D230" s="54">
        <v>9878</v>
      </c>
      <c r="E230" s="54">
        <f>E229*Assumptions!J100</f>
        <v>10399.514999999999</v>
      </c>
      <c r="F230" s="54">
        <f>F229*Assumptions!K100</f>
        <v>10731.259528499999</v>
      </c>
      <c r="G230" s="54">
        <f>G229*Assumptions!L100</f>
        <v>11073.586707459148</v>
      </c>
      <c r="H230" s="54">
        <f>H229*Assumptions!M100</f>
        <v>11426.834123427096</v>
      </c>
      <c r="I230" s="54">
        <f>I229*Assumptions!N100</f>
        <v>11791.35013196442</v>
      </c>
      <c r="J230" s="41"/>
    </row>
    <row r="231" spans="2:10">
      <c r="B231" s="57" t="s">
        <v>294</v>
      </c>
      <c r="C231" s="54">
        <v>3326</v>
      </c>
      <c r="D231" s="54">
        <v>3226</v>
      </c>
      <c r="E231" s="54">
        <f>E229*Assumptions!J99</f>
        <v>3317.9404999999997</v>
      </c>
      <c r="F231" s="54">
        <f>F229*Assumptions!K99</f>
        <v>3423.7828019499993</v>
      </c>
      <c r="G231" s="54">
        <f>G229*Assumptions!L99</f>
        <v>3533.0014733322041</v>
      </c>
      <c r="H231" s="54">
        <f>H229*Assumptions!M99</f>
        <v>3645.7042203315018</v>
      </c>
      <c r="I231" s="54">
        <f>I229*Assumptions!N99</f>
        <v>3762.0021849600766</v>
      </c>
      <c r="J231" s="41"/>
    </row>
    <row r="232" spans="2:10">
      <c r="B232" s="57" t="s">
        <v>295</v>
      </c>
      <c r="C232" s="54">
        <v>439</v>
      </c>
      <c r="D232" s="54">
        <v>333</v>
      </c>
      <c r="E232" s="55">
        <v>0</v>
      </c>
      <c r="F232" s="55">
        <v>0</v>
      </c>
      <c r="G232" s="55">
        <v>0</v>
      </c>
      <c r="H232" s="55">
        <v>0</v>
      </c>
      <c r="I232" s="55">
        <v>0</v>
      </c>
      <c r="J232" s="41"/>
    </row>
    <row r="233" spans="2:10">
      <c r="B233" s="57" t="s">
        <v>296</v>
      </c>
      <c r="C233" s="54">
        <v>-50</v>
      </c>
      <c r="D233" s="54">
        <v>25</v>
      </c>
      <c r="E233" s="55">
        <v>0</v>
      </c>
      <c r="F233" s="55">
        <v>0</v>
      </c>
      <c r="G233" s="55">
        <v>0</v>
      </c>
      <c r="H233" s="55">
        <v>0</v>
      </c>
      <c r="I233" s="55">
        <v>0</v>
      </c>
      <c r="J233" s="41"/>
    </row>
    <row r="234" spans="2:10">
      <c r="B234" s="57" t="s">
        <v>297</v>
      </c>
      <c r="C234" s="54">
        <v>-14121</v>
      </c>
      <c r="D234" s="54">
        <v>-11092</v>
      </c>
      <c r="E234" s="54">
        <f>E229*-Assumptions!J101</f>
        <v>-11460.69</v>
      </c>
      <c r="F234" s="54">
        <f>F229*-Assumptions!K101</f>
        <v>-11826.286011</v>
      </c>
      <c r="G234" s="54">
        <f>G229*-Assumptions!L101</f>
        <v>-12203.544534750899</v>
      </c>
      <c r="H234" s="54">
        <f>H229*-Assumptions!M101</f>
        <v>-12592.837605409453</v>
      </c>
      <c r="I234" s="54">
        <f>I229*-Assumptions!N101</f>
        <v>-12994.549125022015</v>
      </c>
      <c r="J234" s="41"/>
    </row>
    <row r="235" spans="2:10" ht="15" thickBot="1">
      <c r="B235" s="141" t="s">
        <v>80</v>
      </c>
      <c r="C235" s="142">
        <f t="shared" ref="C235:I235" si="44">SUM(C229:C234)</f>
        <v>68375</v>
      </c>
      <c r="D235" s="142">
        <f t="shared" si="44"/>
        <v>70745</v>
      </c>
      <c r="E235" s="142">
        <f t="shared" si="44"/>
        <v>73001.765499999994</v>
      </c>
      <c r="F235" s="142">
        <f t="shared" si="44"/>
        <v>75330.52181944999</v>
      </c>
      <c r="G235" s="142">
        <f t="shared" si="44"/>
        <v>77733.56546549045</v>
      </c>
      <c r="H235" s="142">
        <f t="shared" si="44"/>
        <v>80213.266203839594</v>
      </c>
      <c r="I235" s="142">
        <f t="shared" si="44"/>
        <v>82772.069395742088</v>
      </c>
      <c r="J235" s="41"/>
    </row>
    <row r="236" spans="2:10" ht="15" thickBot="1">
      <c r="B236" s="48"/>
      <c r="C236" s="143"/>
      <c r="D236" s="143"/>
      <c r="E236" s="144"/>
      <c r="F236" s="144"/>
      <c r="G236" s="144"/>
      <c r="H236" s="144"/>
      <c r="I236" s="144"/>
      <c r="J236" s="41"/>
    </row>
    <row r="237" spans="2:10" ht="24" thickTop="1">
      <c r="B237" s="292" t="s">
        <v>347</v>
      </c>
      <c r="C237" s="36"/>
      <c r="D237" s="36"/>
      <c r="E237" s="36"/>
      <c r="F237" s="36"/>
      <c r="G237" s="36"/>
      <c r="H237" s="36"/>
      <c r="I237" s="36"/>
      <c r="J237" s="45" t="s">
        <v>525</v>
      </c>
    </row>
    <row r="238" spans="2:10" ht="15" thickBot="1">
      <c r="B238" s="158" t="s">
        <v>581</v>
      </c>
      <c r="C238" s="132"/>
      <c r="D238" s="132"/>
      <c r="E238" s="372">
        <f>E$4</f>
        <v>2026</v>
      </c>
      <c r="F238" s="372">
        <f>F$4</f>
        <v>2027</v>
      </c>
      <c r="G238" s="372">
        <f>G$4</f>
        <v>2028</v>
      </c>
      <c r="H238" s="372">
        <f>H$4</f>
        <v>2029</v>
      </c>
      <c r="I238" s="372">
        <f>I$4</f>
        <v>2030</v>
      </c>
      <c r="J238" s="45"/>
    </row>
    <row r="239" spans="2:10" ht="5.5" customHeight="1">
      <c r="B239" s="41"/>
      <c r="C239" s="41"/>
      <c r="D239" s="41"/>
      <c r="E239" s="140"/>
      <c r="F239" s="140"/>
      <c r="G239" s="140"/>
      <c r="H239" s="140"/>
      <c r="I239" s="140"/>
      <c r="J239" s="45"/>
    </row>
    <row r="240" spans="2:10">
      <c r="B240" s="48" t="s">
        <v>348</v>
      </c>
      <c r="C240" s="73"/>
      <c r="D240" s="73"/>
      <c r="E240" s="54">
        <f>D55+D54+D46</f>
        <v>417410</v>
      </c>
      <c r="F240" s="54">
        <f>E245</f>
        <v>428295.6726473145</v>
      </c>
      <c r="G240" s="54">
        <f>F245</f>
        <v>473331.43685073347</v>
      </c>
      <c r="H240" s="54">
        <f>G245</f>
        <v>518519.95491586102</v>
      </c>
      <c r="I240" s="54">
        <f>H245</f>
        <v>570939.0735398063</v>
      </c>
      <c r="J240" s="45" t="s">
        <v>526</v>
      </c>
    </row>
    <row r="241" spans="2:10">
      <c r="B241" s="57" t="s">
        <v>586</v>
      </c>
      <c r="C241" s="73"/>
      <c r="D241" s="73"/>
      <c r="E241" s="54">
        <f>E150</f>
        <v>198427.69664731447</v>
      </c>
      <c r="F241" s="54">
        <f>F150</f>
        <v>249672.29094799567</v>
      </c>
      <c r="G241" s="54">
        <f>G150</f>
        <v>282206.31944895937</v>
      </c>
      <c r="H241" s="54">
        <f>H150</f>
        <v>319306.10633231269</v>
      </c>
      <c r="I241" s="54">
        <f>I150</f>
        <v>360334.72829253419</v>
      </c>
      <c r="J241" s="45" t="s">
        <v>527</v>
      </c>
    </row>
    <row r="242" spans="2:10">
      <c r="B242" s="57" t="s">
        <v>349</v>
      </c>
      <c r="C242" s="73"/>
      <c r="D242" s="73"/>
      <c r="E242" s="54">
        <f>(E240)*Assumptions!J34</f>
        <v>16696.400000000001</v>
      </c>
      <c r="F242" s="54">
        <f>(F240)*Assumptions!K34</f>
        <v>17131.82690589258</v>
      </c>
      <c r="G242" s="54">
        <f>(G240)*Assumptions!L34</f>
        <v>18933.257474029338</v>
      </c>
      <c r="H242" s="54">
        <f>(H240)*Assumptions!M34</f>
        <v>20740.798196634441</v>
      </c>
      <c r="I242" s="54">
        <f>(I240)*Assumptions!N34</f>
        <v>22837.562941592252</v>
      </c>
      <c r="J242" s="45"/>
    </row>
    <row r="243" spans="2:10">
      <c r="B243" s="57" t="s">
        <v>350</v>
      </c>
      <c r="C243" s="73"/>
      <c r="D243" s="73"/>
      <c r="E243" s="54">
        <f>-E242*Assumptions!J38</f>
        <v>-2671.4240000000004</v>
      </c>
      <c r="F243" s="54">
        <f>-F242*Assumptions!K38</f>
        <v>-2741.0923049428129</v>
      </c>
      <c r="G243" s="54">
        <f>-G242*Assumptions!L38</f>
        <v>-3029.3211958446941</v>
      </c>
      <c r="H243" s="54">
        <f>-H242*Assumptions!M38</f>
        <v>-3318.5277114615105</v>
      </c>
      <c r="I243" s="54">
        <f>-I242*Assumptions!N38</f>
        <v>-3654.0100706547605</v>
      </c>
      <c r="J243" s="45"/>
    </row>
    <row r="244" spans="2:10">
      <c r="B244" s="57" t="s">
        <v>351</v>
      </c>
      <c r="C244" s="73"/>
      <c r="D244" s="73"/>
      <c r="E244" s="54">
        <f>-Assumptions!J104</f>
        <v>-201567</v>
      </c>
      <c r="F244" s="54">
        <f>-(E31+E242+E243)*Assumptions!K105</f>
        <v>-219027.26134552658</v>
      </c>
      <c r="G244" s="54">
        <f>-(F31+F242+F243)*Assumptions!L105</f>
        <v>-252921.7376620165</v>
      </c>
      <c r="H244" s="54">
        <f>-(G31+G242+G243)*Assumptions!M105</f>
        <v>-284309.25819354021</v>
      </c>
      <c r="I244" s="54">
        <f>-(H31+H242+H243)*Assumptions!N105</f>
        <v>-320165.19916214462</v>
      </c>
      <c r="J244" s="45" t="s">
        <v>528</v>
      </c>
    </row>
    <row r="245" spans="2:10" ht="15" thickBot="1">
      <c r="B245" s="141" t="s">
        <v>80</v>
      </c>
      <c r="C245" s="145"/>
      <c r="D245" s="145"/>
      <c r="E245" s="142">
        <f>SUM(E240:E244)</f>
        <v>428295.6726473145</v>
      </c>
      <c r="F245" s="142">
        <f>SUM(F240:F244)</f>
        <v>473331.43685073347</v>
      </c>
      <c r="G245" s="142">
        <f>SUM(G240:G244)</f>
        <v>518519.95491586102</v>
      </c>
      <c r="H245" s="142">
        <f>SUM(H240:H244)</f>
        <v>570939.0735398063</v>
      </c>
      <c r="I245" s="142">
        <f>SUM(I240:I244)</f>
        <v>630292.15554113337</v>
      </c>
      <c r="J245" s="45"/>
    </row>
    <row r="246" spans="2:10">
      <c r="I246"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2A7A-DE34-4777-9A3C-0DDB57B011E8}">
  <dimension ref="B1:L103"/>
  <sheetViews>
    <sheetView showGridLines="0" topLeftCell="A68" zoomScale="101" zoomScaleNormal="110" workbookViewId="0">
      <selection activeCell="E13" sqref="E13"/>
    </sheetView>
  </sheetViews>
  <sheetFormatPr defaultRowHeight="14.5"/>
  <cols>
    <col min="1" max="1" width="2.36328125" customWidth="1"/>
    <col min="2" max="2" width="44.26953125" bestFit="1" customWidth="1"/>
    <col min="3" max="3" width="11.90625" customWidth="1"/>
    <col min="4" max="4" width="16.81640625" bestFit="1" customWidth="1"/>
    <col min="5" max="5" width="16.26953125" customWidth="1"/>
    <col min="6" max="7" width="11.90625" customWidth="1"/>
    <col min="8" max="8" width="13.6328125" customWidth="1"/>
    <col min="10" max="10" width="28.26953125" customWidth="1"/>
    <col min="11" max="11" width="11.08984375" customWidth="1"/>
    <col min="12" max="12" width="10.1796875" customWidth="1"/>
  </cols>
  <sheetData>
    <row r="1" spans="2:5" ht="12.5" customHeight="1" thickBot="1"/>
    <row r="2" spans="2:5" ht="21" thickTop="1">
      <c r="B2" s="285" t="s">
        <v>150</v>
      </c>
      <c r="C2" s="36"/>
    </row>
    <row r="3" spans="2:5" ht="8" customHeight="1"/>
    <row r="4" spans="2:5">
      <c r="B4" s="282" t="s">
        <v>0</v>
      </c>
      <c r="C4" s="159"/>
    </row>
    <row r="5" spans="2:5">
      <c r="B5" s="160" t="s">
        <v>185</v>
      </c>
      <c r="C5" s="378">
        <v>1.87</v>
      </c>
      <c r="D5" s="196">
        <v>46131</v>
      </c>
      <c r="E5" s="182"/>
    </row>
    <row r="6" spans="2:5">
      <c r="B6" s="160" t="s">
        <v>504</v>
      </c>
      <c r="C6" s="162">
        <f>'Returns Analysis - LBO'!C17</f>
        <v>2.5318600850059756</v>
      </c>
    </row>
    <row r="7" spans="2:5">
      <c r="B7" s="212" t="s">
        <v>151</v>
      </c>
      <c r="C7" s="213">
        <v>3.6724999999999999</v>
      </c>
    </row>
    <row r="8" spans="2:5">
      <c r="B8" s="160" t="s">
        <v>152</v>
      </c>
      <c r="C8" s="163">
        <v>8398633100</v>
      </c>
    </row>
    <row r="9" spans="2:5">
      <c r="B9" s="160" t="s">
        <v>153</v>
      </c>
      <c r="C9" s="164">
        <v>0.6603</v>
      </c>
    </row>
    <row r="10" spans="2:5">
      <c r="B10" s="160" t="s">
        <v>154</v>
      </c>
      <c r="C10" s="380">
        <f>100%-C9</f>
        <v>0.3397</v>
      </c>
    </row>
    <row r="11" spans="2:5">
      <c r="B11" s="212" t="s">
        <v>612</v>
      </c>
      <c r="C11" s="167">
        <v>4</v>
      </c>
    </row>
    <row r="12" spans="2:5">
      <c r="B12" s="160" t="s">
        <v>613</v>
      </c>
      <c r="C12" s="198">
        <f>'3- Statement Model'!D185/'3- Statement Model'!D14</f>
        <v>1.070284954432811</v>
      </c>
    </row>
    <row r="13" spans="2:5">
      <c r="B13" s="160" t="s">
        <v>614</v>
      </c>
      <c r="C13" s="197">
        <f>C11-C12</f>
        <v>2.929715045567189</v>
      </c>
    </row>
    <row r="14" spans="2:5">
      <c r="B14" s="160" t="s">
        <v>155</v>
      </c>
      <c r="C14" s="166">
        <v>0.02</v>
      </c>
    </row>
    <row r="15" spans="2:5">
      <c r="B15" s="160" t="s">
        <v>157</v>
      </c>
      <c r="C15" s="166">
        <v>8.5000000000000006E-2</v>
      </c>
    </row>
    <row r="16" spans="2:5">
      <c r="B16" s="160" t="s">
        <v>158</v>
      </c>
      <c r="C16" s="166">
        <v>0.01</v>
      </c>
    </row>
    <row r="17" spans="2:3">
      <c r="B17" s="160" t="s">
        <v>161</v>
      </c>
      <c r="C17" s="163">
        <v>80000</v>
      </c>
    </row>
    <row r="18" spans="2:3">
      <c r="B18" s="212" t="s">
        <v>162</v>
      </c>
      <c r="C18" s="214">
        <f>('3- Statement Model'!D14)</f>
        <v>595604</v>
      </c>
    </row>
    <row r="19" spans="2:3">
      <c r="B19" s="160" t="s">
        <v>600</v>
      </c>
      <c r="C19" s="168">
        <f>'3- Statement Model'!E14</f>
        <v>638053.71145783935</v>
      </c>
    </row>
    <row r="20" spans="2:3">
      <c r="B20" s="160" t="s">
        <v>190</v>
      </c>
      <c r="C20" s="169">
        <f>Assumptions!J38</f>
        <v>0.16</v>
      </c>
    </row>
    <row r="21" spans="2:3" ht="7.5" customHeight="1">
      <c r="B21" s="123"/>
      <c r="C21" s="123"/>
    </row>
    <row r="22" spans="2:3">
      <c r="B22" s="282" t="s">
        <v>159</v>
      </c>
      <c r="C22" s="159"/>
    </row>
    <row r="23" spans="2:3">
      <c r="B23" s="160" t="s">
        <v>499</v>
      </c>
      <c r="C23" s="170">
        <f>'Returns Analysis - LBO'!C15/$C$7</f>
        <v>0.71341048332198775</v>
      </c>
    </row>
    <row r="24" spans="2:3">
      <c r="B24" s="160" t="s">
        <v>500</v>
      </c>
      <c r="C24" s="171">
        <f>-'LBO Model'!C41*1000/'LBO Model'!C8</f>
        <v>2.3999976853376296E-2</v>
      </c>
    </row>
    <row r="25" spans="2:3">
      <c r="B25" s="160" t="s">
        <v>501</v>
      </c>
      <c r="C25" s="171">
        <f>C23-C24</f>
        <v>0.68941050646861146</v>
      </c>
    </row>
    <row r="26" spans="2:3">
      <c r="B26" s="212" t="s">
        <v>160</v>
      </c>
      <c r="C26" s="215">
        <f>$C$8*$C$10</f>
        <v>2853015664.0700002</v>
      </c>
    </row>
    <row r="27" spans="2:3">
      <c r="B27" s="160" t="s">
        <v>163</v>
      </c>
      <c r="C27" s="172">
        <f>$C$26*$C$25/1000</f>
        <v>1966898.9739293808</v>
      </c>
    </row>
    <row r="28" spans="2:3">
      <c r="B28" s="160" t="s">
        <v>164</v>
      </c>
      <c r="C28" s="172">
        <f>C27*C14</f>
        <v>39337.979478587615</v>
      </c>
    </row>
    <row r="29" spans="2:3">
      <c r="B29" s="212" t="s">
        <v>491</v>
      </c>
      <c r="C29" s="215">
        <f>C18*C13</f>
        <v>1744950</v>
      </c>
    </row>
    <row r="30" spans="2:3">
      <c r="B30" s="205" t="s">
        <v>167</v>
      </c>
      <c r="C30" s="216">
        <f>MAX(MIN(C29,C27+C28-C45),0)</f>
        <v>1744950</v>
      </c>
    </row>
    <row r="31" spans="2:3" ht="14.5" customHeight="1" thickBot="1">
      <c r="B31" s="199" t="s">
        <v>168</v>
      </c>
      <c r="C31" s="202">
        <f>MAX(C27+C28-C30-C45,0)</f>
        <v>125443.95340796839</v>
      </c>
    </row>
    <row r="32" spans="2:3" ht="7.5" customHeight="1">
      <c r="B32" s="41"/>
      <c r="C32" s="41"/>
    </row>
    <row r="33" spans="2:12">
      <c r="B33" s="282" t="s">
        <v>498</v>
      </c>
      <c r="C33" s="134"/>
    </row>
    <row r="34" spans="2:12" ht="13" customHeight="1" thickBot="1">
      <c r="B34" s="298"/>
      <c r="C34" s="299" t="s">
        <v>581</v>
      </c>
    </row>
    <row r="35" spans="2:12">
      <c r="B35" s="160" t="s">
        <v>355</v>
      </c>
      <c r="C35" s="168">
        <f>'3- Statement Model'!D54</f>
        <v>145235</v>
      </c>
    </row>
    <row r="36" spans="2:12">
      <c r="B36" s="160" t="s">
        <v>356</v>
      </c>
      <c r="C36" s="168">
        <f>'3- Statement Model'!D46</f>
        <v>117838</v>
      </c>
    </row>
    <row r="37" spans="2:12">
      <c r="B37" s="160" t="s">
        <v>492</v>
      </c>
      <c r="C37" s="168">
        <f>'3- Statement Model'!D55</f>
        <v>154337</v>
      </c>
    </row>
    <row r="38" spans="2:12">
      <c r="B38" s="160" t="s">
        <v>493</v>
      </c>
      <c r="C38" s="172">
        <f>C17</f>
        <v>80000</v>
      </c>
    </row>
    <row r="39" spans="2:12">
      <c r="B39" s="211" t="s">
        <v>601</v>
      </c>
      <c r="C39" s="221">
        <f>C37-C38</f>
        <v>74337</v>
      </c>
    </row>
    <row r="40" spans="2:12">
      <c r="B40" s="160" t="s">
        <v>602</v>
      </c>
      <c r="C40" s="172">
        <f>C35+C36+C39</f>
        <v>337410</v>
      </c>
    </row>
    <row r="41" spans="2:12">
      <c r="B41" s="212" t="s">
        <v>494</v>
      </c>
      <c r="C41" s="214">
        <f>-Assumptions!J104</f>
        <v>-201567</v>
      </c>
      <c r="D41" s="181" t="s">
        <v>529</v>
      </c>
    </row>
    <row r="42" spans="2:12">
      <c r="B42" s="179" t="s">
        <v>495</v>
      </c>
      <c r="C42" s="172">
        <f>-(MIN(C39,-C41))</f>
        <v>-74337</v>
      </c>
    </row>
    <row r="43" spans="2:12">
      <c r="B43" s="179" t="s">
        <v>496</v>
      </c>
      <c r="C43" s="172">
        <f>-MIN(C35,-(C41-C42))</f>
        <v>-127230</v>
      </c>
    </row>
    <row r="44" spans="2:12">
      <c r="B44" s="179" t="s">
        <v>497</v>
      </c>
      <c r="C44" s="172">
        <f>-MIN(C36,-(C41-C42-C43))</f>
        <v>0</v>
      </c>
    </row>
    <row r="45" spans="2:12">
      <c r="B45" s="219" t="s">
        <v>603</v>
      </c>
      <c r="C45" s="220">
        <f>C40+C41</f>
        <v>135843</v>
      </c>
    </row>
    <row r="46" spans="2:12" ht="2.5" customHeight="1">
      <c r="B46" s="41"/>
      <c r="C46" s="41"/>
      <c r="J46" s="160"/>
      <c r="K46" s="291"/>
      <c r="L46" s="192"/>
    </row>
    <row r="47" spans="2:12">
      <c r="B47" s="176" t="s">
        <v>506</v>
      </c>
      <c r="C47" s="172"/>
    </row>
    <row r="48" spans="2:12">
      <c r="B48" s="178" t="s">
        <v>507</v>
      </c>
      <c r="C48" s="172">
        <f>C35+C43</f>
        <v>18005</v>
      </c>
    </row>
    <row r="49" spans="2:7">
      <c r="B49" s="178" t="s">
        <v>508</v>
      </c>
      <c r="C49" s="172">
        <f>C36+C44</f>
        <v>117838</v>
      </c>
    </row>
    <row r="50" spans="2:7">
      <c r="B50" s="178" t="s">
        <v>509</v>
      </c>
      <c r="C50" s="172">
        <f>C37+C42</f>
        <v>80000</v>
      </c>
    </row>
    <row r="51" spans="2:7">
      <c r="B51" s="218" t="s">
        <v>510</v>
      </c>
      <c r="C51" s="215"/>
    </row>
    <row r="52" spans="2:7">
      <c r="B52" s="178" t="s">
        <v>507</v>
      </c>
      <c r="C52" s="172">
        <v>0</v>
      </c>
    </row>
    <row r="53" spans="2:7">
      <c r="B53" s="178" t="s">
        <v>508</v>
      </c>
      <c r="C53" s="172">
        <v>0</v>
      </c>
    </row>
    <row r="54" spans="2:7" ht="15" thickBot="1">
      <c r="B54" s="217" t="s">
        <v>509</v>
      </c>
      <c r="C54" s="202">
        <f>C38</f>
        <v>80000</v>
      </c>
    </row>
    <row r="55" spans="2:7" ht="9.5" customHeight="1"/>
    <row r="56" spans="2:7" ht="18">
      <c r="B56" s="286" t="s">
        <v>169</v>
      </c>
      <c r="C56" s="185"/>
      <c r="D56" s="185"/>
      <c r="E56" s="286" t="s">
        <v>176</v>
      </c>
      <c r="F56" s="286"/>
      <c r="G56" s="185"/>
    </row>
    <row r="57" spans="2:7" ht="15" thickBot="1">
      <c r="B57" s="108" t="s">
        <v>170</v>
      </c>
      <c r="C57" s="245" t="s">
        <v>171</v>
      </c>
      <c r="D57" s="189" t="s">
        <v>172</v>
      </c>
      <c r="E57" s="108" t="s">
        <v>170</v>
      </c>
      <c r="F57" s="245" t="s">
        <v>171</v>
      </c>
      <c r="G57" s="188" t="s">
        <v>172</v>
      </c>
    </row>
    <row r="58" spans="2:7">
      <c r="B58" s="160" t="s">
        <v>173</v>
      </c>
      <c r="C58" s="289">
        <f>C30</f>
        <v>1744950</v>
      </c>
      <c r="D58" s="190">
        <f>C58/$C$63</f>
        <v>0.86976266538998614</v>
      </c>
      <c r="E58" s="160" t="s">
        <v>177</v>
      </c>
      <c r="F58" s="289">
        <f>C27</f>
        <v>1966898.9739293808</v>
      </c>
      <c r="G58" s="192">
        <f>F58/$F$63</f>
        <v>0.98039215686274506</v>
      </c>
    </row>
    <row r="59" spans="2:7">
      <c r="B59" s="160" t="s">
        <v>165</v>
      </c>
      <c r="C59" s="289">
        <f>C35+C43</f>
        <v>18005</v>
      </c>
      <c r="D59" s="190">
        <f>C59/$C$63</f>
        <v>8.9745131896883587E-3</v>
      </c>
      <c r="E59" s="160" t="s">
        <v>155</v>
      </c>
      <c r="F59" s="289">
        <f>C28</f>
        <v>39337.979478587615</v>
      </c>
      <c r="G59" s="192">
        <f>F59/$F$63</f>
        <v>1.9607843137254902E-2</v>
      </c>
    </row>
    <row r="60" spans="2:7">
      <c r="B60" s="160" t="s">
        <v>166</v>
      </c>
      <c r="C60" s="289">
        <f>C36+C44</f>
        <v>117838</v>
      </c>
      <c r="D60" s="190">
        <f>C60/$C$63</f>
        <v>5.8735833671007869E-2</v>
      </c>
      <c r="E60" s="160"/>
      <c r="F60" s="289"/>
      <c r="G60" s="192"/>
    </row>
    <row r="61" spans="2:7">
      <c r="B61" s="160" t="s">
        <v>174</v>
      </c>
      <c r="C61" s="289">
        <f>C39+C42</f>
        <v>0</v>
      </c>
      <c r="D61" s="190">
        <f>C61/$C$63</f>
        <v>0</v>
      </c>
      <c r="E61" s="160"/>
      <c r="F61" s="291"/>
      <c r="G61" s="192"/>
    </row>
    <row r="62" spans="2:7">
      <c r="B62" s="160" t="s">
        <v>175</v>
      </c>
      <c r="C62" s="289">
        <f>C31</f>
        <v>125443.95340796839</v>
      </c>
      <c r="D62" s="190">
        <f>C62/$C$63</f>
        <v>6.2526987749317642E-2</v>
      </c>
      <c r="E62" s="160"/>
      <c r="F62" s="291"/>
      <c r="G62" s="192"/>
    </row>
    <row r="63" spans="2:7" ht="15" thickBot="1">
      <c r="B63" s="187" t="s">
        <v>179</v>
      </c>
      <c r="C63" s="290">
        <f>SUM(C58:C62)</f>
        <v>2006236.9534079684</v>
      </c>
      <c r="D63" s="191">
        <f>SUM(D58:D62)</f>
        <v>1</v>
      </c>
      <c r="E63" s="187" t="s">
        <v>178</v>
      </c>
      <c r="F63" s="290">
        <f>SUM(F58:F62)</f>
        <v>2006236.9534079684</v>
      </c>
      <c r="G63" s="193">
        <f>SUM(G58:G62)</f>
        <v>1</v>
      </c>
    </row>
    <row r="64" spans="2:7" ht="8" customHeight="1"/>
    <row r="65" spans="2:12" ht="15" thickBot="1">
      <c r="B65" s="194" t="s">
        <v>180</v>
      </c>
      <c r="C65" s="195">
        <f>C63-F63</f>
        <v>0</v>
      </c>
      <c r="E65" s="12"/>
    </row>
    <row r="66" spans="2:12" ht="11" customHeight="1" thickTop="1"/>
    <row r="67" spans="2:12" ht="18">
      <c r="B67" s="287" t="s">
        <v>181</v>
      </c>
      <c r="C67" s="185"/>
    </row>
    <row r="68" spans="2:12">
      <c r="B68" s="160" t="s">
        <v>182</v>
      </c>
      <c r="C68" s="168">
        <f>(C25*C8/1000)+'3- Statement Model'!D185-(C48+C49+C50)</f>
        <v>6211728.8991150446</v>
      </c>
    </row>
    <row r="69" spans="2:12">
      <c r="B69" s="160" t="s">
        <v>183</v>
      </c>
      <c r="C69" s="197">
        <f>C68/C18</f>
        <v>10.429293455240469</v>
      </c>
    </row>
    <row r="70" spans="2:12">
      <c r="B70" s="160" t="s">
        <v>156</v>
      </c>
      <c r="C70" s="197">
        <f>C30/C18</f>
        <v>2.929715045567189</v>
      </c>
    </row>
    <row r="71" spans="2:12">
      <c r="B71" s="160" t="s">
        <v>184</v>
      </c>
      <c r="C71" s="198">
        <f>(C30+'3- Statement Model'!D185)/'LBO Model'!C18</f>
        <v>4</v>
      </c>
      <c r="J71" s="160"/>
      <c r="K71" s="291"/>
      <c r="L71" s="192"/>
    </row>
    <row r="72" spans="2:12" ht="15" thickBot="1">
      <c r="B72" s="199" t="s">
        <v>186</v>
      </c>
      <c r="C72" s="200">
        <f>'Returns Analysis - LBO'!C18</f>
        <v>0.42090846880241151</v>
      </c>
    </row>
    <row r="74" spans="2:12" ht="18">
      <c r="B74" s="288" t="s">
        <v>187</v>
      </c>
      <c r="C74" s="201"/>
      <c r="D74" s="201"/>
      <c r="E74" s="201"/>
      <c r="F74" s="201"/>
      <c r="G74" s="201"/>
    </row>
    <row r="75" spans="2:12" ht="15" thickBot="1">
      <c r="B75" s="108" t="s">
        <v>357</v>
      </c>
      <c r="C75" s="44">
        <v>2026</v>
      </c>
      <c r="D75" s="44">
        <v>2027</v>
      </c>
      <c r="E75" s="44">
        <v>2028</v>
      </c>
      <c r="F75" s="44">
        <v>2029</v>
      </c>
      <c r="G75" s="44">
        <v>2030</v>
      </c>
    </row>
    <row r="76" spans="2:12" ht="6.5" customHeight="1">
      <c r="B76" s="41"/>
      <c r="C76" s="41"/>
      <c r="D76" s="41"/>
      <c r="E76" s="41"/>
      <c r="F76" s="41"/>
      <c r="G76" s="41"/>
    </row>
    <row r="77" spans="2:12">
      <c r="B77" s="180" t="s">
        <v>188</v>
      </c>
      <c r="C77" s="160"/>
      <c r="D77" s="160"/>
      <c r="E77" s="160"/>
      <c r="F77" s="160"/>
      <c r="G77" s="160"/>
    </row>
    <row r="78" spans="2:12">
      <c r="B78" s="160" t="s">
        <v>79</v>
      </c>
      <c r="C78" s="172">
        <f>C58</f>
        <v>1744950</v>
      </c>
      <c r="D78" s="172">
        <f>C87</f>
        <v>1671111.7333526856</v>
      </c>
      <c r="E78" s="172">
        <f>D87</f>
        <v>1540756.8201660716</v>
      </c>
      <c r="F78" s="172">
        <f>E87</f>
        <v>1368560.5376769698</v>
      </c>
      <c r="G78" s="172">
        <f>F87</f>
        <v>1146969.6537347927</v>
      </c>
    </row>
    <row r="79" spans="2:12">
      <c r="B79" s="174" t="s">
        <v>189</v>
      </c>
      <c r="C79" s="172">
        <f>C78*$C$15</f>
        <v>148320.75</v>
      </c>
      <c r="D79" s="172">
        <f>D78*$C$15</f>
        <v>142044.49733497828</v>
      </c>
      <c r="E79" s="172">
        <f>E78*$C$15</f>
        <v>130964.3297141161</v>
      </c>
      <c r="F79" s="172">
        <f>F78*$C$15</f>
        <v>116327.64570254245</v>
      </c>
      <c r="G79" s="172">
        <f>G78*$C$15</f>
        <v>97492.42056745739</v>
      </c>
    </row>
    <row r="80" spans="2:12">
      <c r="B80" s="160" t="str">
        <f>"Tax Shield ("&amp;TEXT(C20,"0.0%")&amp;")"</f>
        <v>Tax Shield (16.0%)</v>
      </c>
      <c r="C80" s="172">
        <f>-C79*$C$20</f>
        <v>-23731.32</v>
      </c>
      <c r="D80" s="172">
        <f>-D79*$C$20</f>
        <v>-22727.119573596527</v>
      </c>
      <c r="E80" s="172">
        <f>-E79*$C$20</f>
        <v>-20954.292754258578</v>
      </c>
      <c r="F80" s="172">
        <f>-F79*$C$20</f>
        <v>-18612.423312406791</v>
      </c>
      <c r="G80" s="172">
        <f>-G79*$C$20</f>
        <v>-15598.787290793183</v>
      </c>
    </row>
    <row r="81" spans="2:7">
      <c r="B81" s="175" t="s">
        <v>191</v>
      </c>
      <c r="C81" s="173">
        <f>C79+C80</f>
        <v>124589.43</v>
      </c>
      <c r="D81" s="173">
        <f>D79+D80</f>
        <v>119317.37776138175</v>
      </c>
      <c r="E81" s="173">
        <f>E79+E80</f>
        <v>110010.03695985752</v>
      </c>
      <c r="F81" s="173">
        <f>F79+F80</f>
        <v>97715.222390135663</v>
      </c>
      <c r="G81" s="173">
        <f>G79+G80</f>
        <v>81893.633276664201</v>
      </c>
    </row>
    <row r="82" spans="2:7" ht="8" customHeight="1">
      <c r="B82" s="160"/>
      <c r="C82" s="186"/>
      <c r="D82" s="172"/>
      <c r="E82" s="172"/>
      <c r="F82" s="172"/>
      <c r="G82" s="172"/>
    </row>
    <row r="83" spans="2:7">
      <c r="B83" s="160" t="str">
        <f>"Mandatory Amortisation ("&amp;TEXT(C16,"0.0%")&amp;")"</f>
        <v>Mandatory Amortisation (1.0%)</v>
      </c>
      <c r="C83" s="172">
        <f>-C78*$C$16</f>
        <v>-17449.5</v>
      </c>
      <c r="D83" s="172">
        <f>-D78*$C$16</f>
        <v>-16711.117333526858</v>
      </c>
      <c r="E83" s="172">
        <f>-E78*$C$16</f>
        <v>-15407.568201660717</v>
      </c>
      <c r="F83" s="172">
        <f>-F78*$C$16</f>
        <v>-13685.605376769698</v>
      </c>
      <c r="G83" s="172">
        <f>-G78*$C$16</f>
        <v>-11469.696537347927</v>
      </c>
    </row>
    <row r="84" spans="2:7">
      <c r="B84" s="160" t="s">
        <v>192</v>
      </c>
      <c r="C84" s="168">
        <f>'3- Statement Model'!E123+'3- Statement Model'!E136+('3- Statement Model'!E140+'3- Statement Model'!E141+'3- Statement Model'!E142+'3- Statement Model'!E143+'3- Statement Model'!E144+'3- Statement Model'!E145+'3- Statement Model'!E146)-C81+C83</f>
        <v>56388.766647314478</v>
      </c>
      <c r="D84" s="168">
        <f>'3- Statement Model'!F123+'3- Statement Model'!F136+('3- Statement Model'!F140+'3- Statement Model'!F141+'3- Statement Model'!F142+'3- Statement Model'!F143+'3- Statement Model'!F144+'3- Statement Model'!F145+'3- Statement Model'!F146)-D81+D83</f>
        <v>113643.79585308707</v>
      </c>
      <c r="E84" s="168">
        <f>'3- Statement Model'!G123+'3- Statement Model'!G136+('3- Statement Model'!G140+'3- Statement Model'!G141+'3- Statement Model'!G142+'3- Statement Model'!G143+'3- Statement Model'!G144+'3- Statement Model'!G145+'3- Statement Model'!G146)-E81+E83</f>
        <v>156788.71428744117</v>
      </c>
      <c r="F84" s="168">
        <f>'3- Statement Model'!H123+'3- Statement Model'!H136+('3- Statement Model'!H140+'3- Statement Model'!H141+'3- Statement Model'!H142+'3- Statement Model'!H143+'3- Statement Model'!H144+'3- Statement Model'!H145+'3- Statement Model'!H146)-F81+F83</f>
        <v>207905.27856540732</v>
      </c>
      <c r="G84" s="168">
        <f>'3- Statement Model'!I123+'3- Statement Model'!I136+('3- Statement Model'!I140+'3- Statement Model'!I141+'3- Statement Model'!I142+'3- Statement Model'!I143+'3- Statement Model'!I144+'3- Statement Model'!I145+'3- Statement Model'!I146)-G81+G83</f>
        <v>266971.39847852208</v>
      </c>
    </row>
    <row r="85" spans="2:7">
      <c r="B85" s="160" t="s">
        <v>193</v>
      </c>
      <c r="C85" s="172">
        <f>MIN(MAX(C84,0),C78+C79)</f>
        <v>56388.766647314478</v>
      </c>
      <c r="D85" s="172">
        <f>MIN(MAX(D84,0),D78+D79)</f>
        <v>113643.79585308707</v>
      </c>
      <c r="E85" s="172">
        <f>MIN(MAX(E84,0),E78+E79)</f>
        <v>156788.71428744117</v>
      </c>
      <c r="F85" s="172">
        <f>MIN(MAX(F84,0),F78+F79)</f>
        <v>207905.27856540732</v>
      </c>
      <c r="G85" s="172">
        <f>MIN(MAX(G84,0),G78+G79)</f>
        <v>266971.39847852208</v>
      </c>
    </row>
    <row r="86" spans="2:7">
      <c r="B86" s="184" t="s">
        <v>195</v>
      </c>
      <c r="C86" s="177">
        <f>-C83+C85</f>
        <v>73838.266647314478</v>
      </c>
      <c r="D86" s="177">
        <f>-D83+D85</f>
        <v>130354.91318661392</v>
      </c>
      <c r="E86" s="177">
        <f>-E83+E85</f>
        <v>172196.28248910187</v>
      </c>
      <c r="F86" s="177">
        <f>-F83+F85</f>
        <v>221590.88394217702</v>
      </c>
      <c r="G86" s="177">
        <f>-G83+G85</f>
        <v>278441.09501587</v>
      </c>
    </row>
    <row r="87" spans="2:7" ht="15" thickBot="1">
      <c r="B87" s="203" t="s">
        <v>80</v>
      </c>
      <c r="C87" s="204">
        <f>C78-C86</f>
        <v>1671111.7333526856</v>
      </c>
      <c r="D87" s="204">
        <f>D78-D86</f>
        <v>1540756.8201660716</v>
      </c>
      <c r="E87" s="204">
        <f>E78-E86</f>
        <v>1368560.5376769698</v>
      </c>
      <c r="F87" s="204">
        <f>F78-F86</f>
        <v>1146969.6537347927</v>
      </c>
      <c r="G87" s="204">
        <f>G78-G86</f>
        <v>868528.55871892278</v>
      </c>
    </row>
    <row r="88" spans="2:7" ht="5.5" customHeight="1" thickTop="1">
      <c r="B88" s="160"/>
      <c r="C88" s="160"/>
      <c r="D88" s="160"/>
      <c r="E88" s="160"/>
      <c r="F88" s="160"/>
      <c r="G88" s="160"/>
    </row>
    <row r="89" spans="2:7" ht="15" customHeight="1">
      <c r="B89" s="381" t="s">
        <v>615</v>
      </c>
      <c r="C89" s="382">
        <f>(C87+'3- Statement Model'!E185)/'3- Statement Model'!E14</f>
        <v>3.6159740033189003</v>
      </c>
      <c r="D89" s="382">
        <f>(D87+'3- Statement Model'!F185)/'3- Statement Model'!F14</f>
        <v>3.1701364513941801</v>
      </c>
      <c r="E89" s="382">
        <f>(E87+'3- Statement Model'!G185)/'3- Statement Model'!G14</f>
        <v>2.7124169990196263</v>
      </c>
      <c r="F89" s="382">
        <f>(F87+'3- Statement Model'!H185)/'3- Statement Model'!H14</f>
        <v>2.2440989548312977</v>
      </c>
      <c r="G89" s="382">
        <f>(G87+'3- Statement Model'!I185)/'3- Statement Model'!I14</f>
        <v>1.7659113909099748</v>
      </c>
    </row>
    <row r="90" spans="2:7">
      <c r="B90" s="160" t="s">
        <v>156</v>
      </c>
      <c r="C90" s="198">
        <f>C87/'3- Statement Model'!E14</f>
        <v>2.6190768948502661</v>
      </c>
      <c r="D90" s="198">
        <f>D87/'3- Statement Model'!F14</f>
        <v>2.224305227269733</v>
      </c>
      <c r="E90" s="198">
        <f>E87/'3- Statement Model'!G14</f>
        <v>1.8231085756485057</v>
      </c>
      <c r="F90" s="198">
        <f>F87/'3- Statement Model'!H14</f>
        <v>1.4122065561957211</v>
      </c>
      <c r="G90" s="198">
        <f>G87/'3- Statement Model'!I14</f>
        <v>0.98988225214847136</v>
      </c>
    </row>
    <row r="91" spans="2:7">
      <c r="B91" s="383" t="s">
        <v>647</v>
      </c>
      <c r="C91" s="384">
        <f>'3- Statement Model'!E14/('LBO Model'!C79+(-'3- Statement Model'!E27))</f>
        <v>3.3860273818661213</v>
      </c>
      <c r="D91" s="384">
        <f>'3- Statement Model'!F14/('LBO Model'!D79+(-'3- Statement Model'!F27))</f>
        <v>3.7910266639009267</v>
      </c>
      <c r="E91" s="384">
        <f>'3- Statement Model'!G14/('LBO Model'!E79+(-'3- Statement Model'!G27))</f>
        <v>4.3484333114293872</v>
      </c>
      <c r="F91" s="384">
        <f>'3- Statement Model'!H14/('LBO Model'!F79+(-'3- Statement Model'!H27))</f>
        <v>5.1196788517361203</v>
      </c>
      <c r="G91" s="384">
        <f>'3- Statement Model'!I14/('LBO Model'!G79+(-'3- Statement Model'!I27))</f>
        <v>6.2571975541178535</v>
      </c>
    </row>
    <row r="93" spans="2:7" ht="18">
      <c r="B93" s="288" t="s">
        <v>196</v>
      </c>
      <c r="C93" s="201"/>
    </row>
    <row r="94" spans="2:7" ht="12" customHeight="1" thickBot="1">
      <c r="B94" s="300"/>
      <c r="C94" s="301" t="s">
        <v>581</v>
      </c>
    </row>
    <row r="95" spans="2:7">
      <c r="B95" s="11" t="s">
        <v>197</v>
      </c>
      <c r="C95" s="16">
        <f>SUM(C79:G79)</f>
        <v>635149.64331909432</v>
      </c>
    </row>
    <row r="96" spans="2:7">
      <c r="B96" s="209" t="s">
        <v>198</v>
      </c>
      <c r="C96" s="210">
        <f>SUM(C80:G80)</f>
        <v>-101623.94293105508</v>
      </c>
    </row>
    <row r="97" spans="2:3">
      <c r="B97" s="11" t="s">
        <v>199</v>
      </c>
      <c r="C97" s="16">
        <f>C95+C96</f>
        <v>533525.70038803923</v>
      </c>
    </row>
    <row r="98" spans="2:3">
      <c r="B98" s="11" t="s">
        <v>200</v>
      </c>
      <c r="C98" s="16">
        <f>SUM(C83:G83)</f>
        <v>-74723.487449305205</v>
      </c>
    </row>
    <row r="99" spans="2:3">
      <c r="B99" s="11" t="s">
        <v>201</v>
      </c>
      <c r="C99" s="16">
        <f>SUM(C85:G85)</f>
        <v>801697.9538317722</v>
      </c>
    </row>
    <row r="100" spans="2:3">
      <c r="B100" s="209" t="s">
        <v>194</v>
      </c>
      <c r="C100" s="210">
        <f>SUM(C86:G86)</f>
        <v>876421.44128107722</v>
      </c>
    </row>
    <row r="101" spans="2:3">
      <c r="B101" s="11" t="s">
        <v>202</v>
      </c>
      <c r="C101" s="16">
        <f>C78</f>
        <v>1744950</v>
      </c>
    </row>
    <row r="102" spans="2:3">
      <c r="B102" s="209" t="s">
        <v>203</v>
      </c>
      <c r="C102" s="210">
        <f>G87</f>
        <v>868528.55871892278</v>
      </c>
    </row>
    <row r="103" spans="2:3" ht="15" thickBot="1">
      <c r="B103" s="206" t="s">
        <v>204</v>
      </c>
      <c r="C103" s="207">
        <f>1-(C102/C101)</f>
        <v>0.50226163573803095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9508-2E35-4479-828C-E3116CEDED26}">
  <dimension ref="B1:S208"/>
  <sheetViews>
    <sheetView showGridLines="0" tabSelected="1" zoomScale="75" zoomScaleNormal="100" workbookViewId="0">
      <selection activeCell="G112" sqref="G112"/>
    </sheetView>
  </sheetViews>
  <sheetFormatPr defaultRowHeight="14.5"/>
  <cols>
    <col min="1" max="1" width="2.36328125" customWidth="1"/>
    <col min="2" max="2" width="44.36328125" customWidth="1"/>
    <col min="3" max="3" width="11.6328125" customWidth="1"/>
    <col min="4" max="4" width="13.6328125" customWidth="1"/>
    <col min="5" max="7" width="11.6328125" customWidth="1"/>
    <col min="8" max="8" width="13.08984375" customWidth="1"/>
    <col min="9" max="9" width="17.1796875" customWidth="1"/>
    <col min="10" max="10" width="10.7265625" bestFit="1" customWidth="1"/>
    <col min="11" max="11" width="15.54296875" bestFit="1" customWidth="1"/>
    <col min="12" max="12" width="16.36328125" hidden="1" customWidth="1"/>
    <col min="13" max="13" width="8.7265625" hidden="1" customWidth="1"/>
    <col min="14" max="14" width="18.81640625" bestFit="1" customWidth="1"/>
    <col min="20" max="20" width="13.81640625" bestFit="1" customWidth="1"/>
    <col min="30" max="30" width="8.7265625" customWidth="1"/>
  </cols>
  <sheetData>
    <row r="1" spans="2:14" ht="11.5" customHeight="1" thickBot="1">
      <c r="D1" s="368" t="s">
        <v>648</v>
      </c>
    </row>
    <row r="2" spans="2:14" ht="21" thickTop="1">
      <c r="B2" s="283" t="s">
        <v>205</v>
      </c>
      <c r="C2" s="29"/>
    </row>
    <row r="3" spans="2:14" ht="7" customHeight="1">
      <c r="B3" s="41"/>
      <c r="C3" s="41"/>
    </row>
    <row r="4" spans="2:14">
      <c r="B4" s="282" t="s">
        <v>206</v>
      </c>
      <c r="C4" s="134"/>
      <c r="G4" s="10"/>
      <c r="H4" s="10"/>
      <c r="I4" s="10"/>
      <c r="J4" s="10"/>
      <c r="K4" s="10"/>
      <c r="L4" s="10"/>
      <c r="M4" s="10"/>
      <c r="N4" s="10"/>
    </row>
    <row r="5" spans="2:14">
      <c r="B5" s="160" t="s">
        <v>182</v>
      </c>
      <c r="C5" s="222">
        <f>'LBO Model'!C68</f>
        <v>6211728.8991150446</v>
      </c>
    </row>
    <row r="6" spans="2:14">
      <c r="B6" s="160" t="s">
        <v>207</v>
      </c>
      <c r="C6" s="222">
        <f>'LBO Model'!C18</f>
        <v>595604</v>
      </c>
    </row>
    <row r="7" spans="2:14">
      <c r="B7" s="160" t="s">
        <v>183</v>
      </c>
      <c r="C7" s="197">
        <f>C5/C6</f>
        <v>10.429293455240469</v>
      </c>
      <c r="J7" s="4"/>
    </row>
    <row r="8" spans="2:14">
      <c r="B8" s="212" t="s">
        <v>208</v>
      </c>
      <c r="C8" s="223">
        <f>'LBO Model'!C30</f>
        <v>1744950</v>
      </c>
    </row>
    <row r="9" spans="2:14">
      <c r="B9" s="160" t="s">
        <v>490</v>
      </c>
      <c r="C9" s="222">
        <f>'LBO Model'!C45</f>
        <v>135843</v>
      </c>
      <c r="J9" s="4"/>
    </row>
    <row r="10" spans="2:14">
      <c r="B10" s="160" t="s">
        <v>209</v>
      </c>
      <c r="C10" s="222">
        <f>'LBO Model'!C31</f>
        <v>125443.95340796839</v>
      </c>
    </row>
    <row r="11" spans="2:14">
      <c r="B11" s="212" t="s">
        <v>251</v>
      </c>
      <c r="C11" s="224">
        <v>850000</v>
      </c>
      <c r="D11" s="181" t="s">
        <v>530</v>
      </c>
      <c r="E11" s="11"/>
      <c r="J11" s="4"/>
    </row>
    <row r="12" spans="2:14">
      <c r="B12" s="160" t="s">
        <v>252</v>
      </c>
      <c r="C12" s="163">
        <v>1020000</v>
      </c>
      <c r="D12" s="181" t="s">
        <v>531</v>
      </c>
    </row>
    <row r="13" spans="2:14">
      <c r="B13" s="160" t="s">
        <v>210</v>
      </c>
      <c r="C13" s="163">
        <v>1800000</v>
      </c>
      <c r="D13" s="181" t="s">
        <v>532</v>
      </c>
      <c r="E13" s="11"/>
    </row>
    <row r="14" spans="2:14">
      <c r="B14" s="160" t="s">
        <v>480</v>
      </c>
      <c r="C14" s="225">
        <f>'LBO Model'!C9</f>
        <v>0.6603</v>
      </c>
      <c r="D14" s="181"/>
      <c r="J14" s="4"/>
    </row>
    <row r="15" spans="2:14">
      <c r="B15" s="212" t="s">
        <v>505</v>
      </c>
      <c r="C15" s="213">
        <v>2.62</v>
      </c>
      <c r="D15" s="181" t="s">
        <v>533</v>
      </c>
      <c r="E15" s="11"/>
      <c r="J15" s="4"/>
    </row>
    <row r="16" spans="2:14">
      <c r="B16" s="160" t="s">
        <v>503</v>
      </c>
      <c r="C16" s="226">
        <f>-'LBO Model'!C41*1000*'LBO Model'!C7/'LBO Model'!C8</f>
        <v>8.8139914994024446E-2</v>
      </c>
      <c r="D16" s="41"/>
      <c r="J16" s="4"/>
    </row>
    <row r="17" spans="2:9">
      <c r="B17" s="160" t="s">
        <v>504</v>
      </c>
      <c r="C17" s="227">
        <f>C15-C16</f>
        <v>2.5318600850059756</v>
      </c>
    </row>
    <row r="18" spans="2:9">
      <c r="B18" s="184" t="s">
        <v>502</v>
      </c>
      <c r="C18" s="228">
        <f>(C17-('LBO Model'!C5-C16))/('LBO Model'!C5-C16)</f>
        <v>0.42090846880241151</v>
      </c>
      <c r="I18" s="394"/>
    </row>
    <row r="19" spans="2:9" ht="7.5" customHeight="1"/>
    <row r="20" spans="2:9">
      <c r="B20" s="282" t="s">
        <v>211</v>
      </c>
      <c r="C20" s="134"/>
    </row>
    <row r="21" spans="2:9">
      <c r="B21" s="160" t="s">
        <v>212</v>
      </c>
      <c r="C21" s="161">
        <v>2030</v>
      </c>
      <c r="E21" s="11"/>
    </row>
    <row r="22" spans="2:9">
      <c r="B22" s="211" t="s">
        <v>237</v>
      </c>
      <c r="C22" s="229" t="str">
        <f>IFERROR(CHOOSE(Assumptions!E2,"Bear","Base","Bull"),"Base")</f>
        <v>Base</v>
      </c>
    </row>
    <row r="23" spans="2:9">
      <c r="B23" s="160" t="s">
        <v>213</v>
      </c>
      <c r="C23" s="168">
        <f>'3- Statement Model'!I14</f>
        <v>877405.93068907061</v>
      </c>
      <c r="D23" s="11"/>
    </row>
    <row r="24" spans="2:9">
      <c r="B24" s="160" t="s">
        <v>224</v>
      </c>
      <c r="C24" s="167">
        <v>8.09</v>
      </c>
      <c r="D24" s="11"/>
    </row>
    <row r="25" spans="2:9">
      <c r="B25" s="160" t="s">
        <v>214</v>
      </c>
      <c r="C25" s="168">
        <f>'LBO Model'!C102</f>
        <v>868528.55871892278</v>
      </c>
      <c r="D25" s="11"/>
    </row>
    <row r="26" spans="2:9">
      <c r="B26" s="160" t="s">
        <v>215</v>
      </c>
      <c r="C26" s="168">
        <f>'3- Statement Model'!I185</f>
        <v>680892.56873687496</v>
      </c>
      <c r="D26" s="11"/>
      <c r="E26" s="11"/>
      <c r="F26" s="11"/>
    </row>
    <row r="27" spans="2:9" ht="15" customHeight="1">
      <c r="B27" s="211" t="s">
        <v>216</v>
      </c>
      <c r="C27" s="230">
        <f>'LBO Model'!C17</f>
        <v>80000</v>
      </c>
      <c r="D27" s="11"/>
      <c r="E27" s="11"/>
      <c r="F27" s="11"/>
      <c r="G27" s="11"/>
      <c r="H27" s="11"/>
      <c r="I27" s="11"/>
    </row>
    <row r="28" spans="2:9" ht="15" thickBot="1">
      <c r="B28" s="41"/>
      <c r="C28" s="41"/>
      <c r="D28" s="41"/>
      <c r="E28" s="41"/>
    </row>
    <row r="29" spans="2:9" ht="21" thickTop="1">
      <c r="B29" s="283" t="s">
        <v>616</v>
      </c>
      <c r="C29" s="29"/>
      <c r="D29" s="388"/>
      <c r="E29" s="388"/>
      <c r="G29" s="4"/>
    </row>
    <row r="30" spans="2:9" ht="15" thickBot="1">
      <c r="B30" s="107"/>
      <c r="C30" s="231"/>
    </row>
    <row r="31" spans="2:9" ht="15" thickBot="1">
      <c r="B31" s="385" t="s">
        <v>617</v>
      </c>
      <c r="C31" s="386">
        <f>XIRR(F98:F103,C98:C103,)</f>
        <v>6.5586128830909751E-2</v>
      </c>
    </row>
    <row r="32" spans="2:9" ht="19.5" customHeight="1" thickTop="1" thickBot="1"/>
    <row r="33" spans="2:5" ht="18.5" customHeight="1" thickTop="1">
      <c r="B33" s="283" t="s">
        <v>608</v>
      </c>
      <c r="C33" s="233"/>
    </row>
    <row r="34" spans="2:5" ht="15" thickBot="1">
      <c r="B34" s="238"/>
      <c r="C34" s="302" t="s">
        <v>581</v>
      </c>
    </row>
    <row r="35" spans="2:5" ht="5.5" customHeight="1">
      <c r="B35" s="237"/>
      <c r="C35" s="232"/>
    </row>
    <row r="36" spans="2:5">
      <c r="B36" s="160" t="s">
        <v>248</v>
      </c>
      <c r="C36" s="235">
        <f>'LBO Model'!C68</f>
        <v>6211728.8991150446</v>
      </c>
    </row>
    <row r="37" spans="2:5">
      <c r="B37" s="178" t="s">
        <v>241</v>
      </c>
      <c r="C37" s="235">
        <f>-'3- Statement Model'!E180</f>
        <v>-637466</v>
      </c>
    </row>
    <row r="38" spans="2:5">
      <c r="B38" s="303" t="s">
        <v>242</v>
      </c>
      <c r="C38" s="242">
        <f>SUM('LBO Model'!C48:C50)</f>
        <v>215843</v>
      </c>
    </row>
    <row r="39" spans="2:5">
      <c r="B39" s="160" t="s">
        <v>604</v>
      </c>
      <c r="C39" s="236">
        <f>C36+C37+C38</f>
        <v>5790105.8991150446</v>
      </c>
    </row>
    <row r="40" spans="2:5">
      <c r="B40" s="160" t="s">
        <v>605</v>
      </c>
      <c r="C40" s="236">
        <f>C39*'LBO Model'!C9</f>
        <v>3823206.9251856641</v>
      </c>
    </row>
    <row r="41" spans="2:5">
      <c r="B41" s="160" t="s">
        <v>606</v>
      </c>
      <c r="C41" s="236">
        <f>C10</f>
        <v>125443.95340796839</v>
      </c>
    </row>
    <row r="42" spans="2:5">
      <c r="B42" s="184" t="s">
        <v>607</v>
      </c>
      <c r="C42" s="304">
        <f>C40+C41</f>
        <v>3948650.8785936325</v>
      </c>
    </row>
    <row r="43" spans="2:5" ht="5.5" customHeight="1">
      <c r="B43" s="160"/>
      <c r="C43" s="236"/>
    </row>
    <row r="44" spans="2:5">
      <c r="B44" s="160" t="s">
        <v>247</v>
      </c>
      <c r="C44" s="236">
        <f>C24*C23</f>
        <v>7098213.9792745812</v>
      </c>
    </row>
    <row r="45" spans="2:5">
      <c r="B45" s="178" t="s">
        <v>243</v>
      </c>
      <c r="C45" s="235">
        <f>-'LBO Model'!G87</f>
        <v>-868528.55871892278</v>
      </c>
    </row>
    <row r="46" spans="2:5">
      <c r="B46" s="178" t="s">
        <v>244</v>
      </c>
      <c r="C46" s="235">
        <f>-'3- Statement Model'!I185</f>
        <v>-680892.56873687496</v>
      </c>
    </row>
    <row r="47" spans="2:5">
      <c r="B47" s="183" t="s">
        <v>246</v>
      </c>
      <c r="C47" s="239">
        <f>C27</f>
        <v>80000</v>
      </c>
      <c r="E47" s="11"/>
    </row>
    <row r="48" spans="2:5" ht="15" thickBot="1">
      <c r="B48" s="240" t="s">
        <v>245</v>
      </c>
      <c r="C48" s="241">
        <f>C44+C45+C46+C47</f>
        <v>5628792.8518187832</v>
      </c>
    </row>
    <row r="49" spans="2:7" ht="20.5" customHeight="1" thickTop="1"/>
    <row r="50" spans="2:7" ht="15.5">
      <c r="B50" s="404" t="s">
        <v>477</v>
      </c>
      <c r="C50" s="403"/>
      <c r="D50" s="403"/>
      <c r="E50" s="403"/>
    </row>
    <row r="51" spans="2:7" ht="15" thickBot="1">
      <c r="B51" s="411" t="s">
        <v>171</v>
      </c>
      <c r="C51" s="188" t="s">
        <v>219</v>
      </c>
      <c r="D51" s="188" t="s">
        <v>476</v>
      </c>
      <c r="E51" s="188" t="s">
        <v>240</v>
      </c>
    </row>
    <row r="52" spans="2:7" ht="6.5" customHeight="1">
      <c r="B52" s="412"/>
      <c r="C52" s="42"/>
      <c r="D52" s="41"/>
      <c r="E52" s="41"/>
      <c r="F52" s="41"/>
    </row>
    <row r="53" spans="2:7">
      <c r="B53" s="413" t="s">
        <v>618</v>
      </c>
      <c r="C53" s="242">
        <f>'LBO Model'!$C$25*('LBO Model'!$C$8/1000)*'LBO Model'!$C$9</f>
        <v>3823206.9251856632</v>
      </c>
      <c r="D53" s="242">
        <f>'LBO Model'!$C$25*('LBO Model'!$C$8/1000)*'LBO Model'!$C$9</f>
        <v>3823206.9251856632</v>
      </c>
      <c r="E53" s="243">
        <f>C53-D53</f>
        <v>0</v>
      </c>
      <c r="F53" s="41"/>
    </row>
    <row r="54" spans="2:7" ht="9" customHeight="1">
      <c r="B54" s="160"/>
      <c r="C54" s="235"/>
      <c r="D54" s="235"/>
      <c r="E54" s="236"/>
      <c r="F54" s="41"/>
    </row>
    <row r="55" spans="2:7">
      <c r="B55" s="405" t="s">
        <v>485</v>
      </c>
      <c r="C55" s="235"/>
      <c r="D55" s="235"/>
      <c r="E55" s="236"/>
      <c r="F55" s="41"/>
    </row>
    <row r="56" spans="2:7">
      <c r="B56" s="178" t="s">
        <v>484</v>
      </c>
      <c r="C56" s="235">
        <f>'LBO Model'!$C$25*('LBO Model'!$C$8/1000)*(1-'LBO Model'!$C$9)</f>
        <v>1966898.9739293803</v>
      </c>
      <c r="D56" s="406">
        <v>0</v>
      </c>
      <c r="E56" s="236">
        <f>C56-D56</f>
        <v>1966898.9739293803</v>
      </c>
      <c r="F56" s="41"/>
    </row>
    <row r="57" spans="2:7">
      <c r="B57" s="178" t="s">
        <v>486</v>
      </c>
      <c r="C57" s="236">
        <f>-C8</f>
        <v>-1744950</v>
      </c>
      <c r="D57" s="406">
        <v>0</v>
      </c>
      <c r="E57" s="236">
        <f>C57-D57</f>
        <v>-1744950</v>
      </c>
      <c r="F57" s="41"/>
    </row>
    <row r="58" spans="2:7">
      <c r="B58" s="178" t="s">
        <v>487</v>
      </c>
      <c r="C58" s="236">
        <f>-C9</f>
        <v>-135843</v>
      </c>
      <c r="D58" s="406">
        <v>0</v>
      </c>
      <c r="E58" s="236">
        <f>C58-D58</f>
        <v>-135843</v>
      </c>
      <c r="F58" s="41"/>
    </row>
    <row r="59" spans="2:7">
      <c r="B59" s="178" t="s">
        <v>514</v>
      </c>
      <c r="C59" s="236">
        <f>D98</f>
        <v>-125443.95340796839</v>
      </c>
      <c r="D59" s="406">
        <v>0</v>
      </c>
      <c r="E59" s="236">
        <f>C59-D59</f>
        <v>-125443.95340796839</v>
      </c>
      <c r="F59" s="41"/>
      <c r="G59" s="14"/>
    </row>
    <row r="60" spans="2:7">
      <c r="B60" s="211" t="s">
        <v>488</v>
      </c>
      <c r="C60" s="243">
        <f>C56+C57+C58+C59</f>
        <v>-39337.979478588095</v>
      </c>
      <c r="D60" s="243">
        <f>D56+D57+D58+D59</f>
        <v>0</v>
      </c>
      <c r="E60" s="243">
        <f>C60-D60</f>
        <v>-39337.979478588095</v>
      </c>
      <c r="F60" s="181" t="s">
        <v>534</v>
      </c>
    </row>
    <row r="61" spans="2:7" ht="8.5" customHeight="1">
      <c r="B61" s="160"/>
      <c r="C61" s="235"/>
      <c r="D61" s="235"/>
      <c r="E61" s="236"/>
      <c r="F61" s="41"/>
    </row>
    <row r="62" spans="2:7">
      <c r="B62" s="405" t="s">
        <v>489</v>
      </c>
      <c r="C62" s="235"/>
      <c r="D62" s="235"/>
      <c r="E62" s="235"/>
      <c r="F62" s="41"/>
    </row>
    <row r="63" spans="2:7">
      <c r="B63" s="160" t="s">
        <v>481</v>
      </c>
      <c r="C63" s="407">
        <v>1</v>
      </c>
      <c r="D63" s="408">
        <f>C14</f>
        <v>0.6603</v>
      </c>
      <c r="E63" s="408">
        <f t="shared" ref="E63:E71" si="0">C63-D63</f>
        <v>0.3397</v>
      </c>
      <c r="F63" s="41"/>
    </row>
    <row r="64" spans="2:7">
      <c r="B64" s="409" t="s">
        <v>473</v>
      </c>
      <c r="C64" s="236">
        <f>(($C$23-$C$6)*$C$7)*C63</f>
        <v>2938995.0314096524</v>
      </c>
      <c r="D64" s="236">
        <f>(($C$23-$C$6)*$C$7)*D63</f>
        <v>1940618.4192397934</v>
      </c>
      <c r="E64" s="236">
        <f t="shared" si="0"/>
        <v>998376.612169859</v>
      </c>
      <c r="F64" s="41"/>
    </row>
    <row r="65" spans="2:6">
      <c r="B65" s="409" t="s">
        <v>474</v>
      </c>
      <c r="C65" s="236">
        <f>(($C$24-$C$7)*$C$23)*C63</f>
        <v>-2052509.9512501154</v>
      </c>
      <c r="D65" s="236">
        <f>(($C$24-$C$7)*$C$23)*D63</f>
        <v>-1355272.3208104512</v>
      </c>
      <c r="E65" s="236">
        <f t="shared" si="0"/>
        <v>-697237.63043966424</v>
      </c>
      <c r="F65" s="41"/>
    </row>
    <row r="66" spans="2:6">
      <c r="B66" s="409" t="s">
        <v>478</v>
      </c>
      <c r="C66" s="235">
        <f>('3- Statement Model'!$E$180-'3- Statement Model'!$I$185)*C63</f>
        <v>-43426.568736874964</v>
      </c>
      <c r="D66" s="235">
        <f>('3- Statement Model'!$E$180-'3- Statement Model'!$I$185)*D63</f>
        <v>-28674.563336958538</v>
      </c>
      <c r="E66" s="236">
        <f t="shared" si="0"/>
        <v>-14752.005399916427</v>
      </c>
      <c r="F66" s="41"/>
    </row>
    <row r="67" spans="2:6">
      <c r="B67" s="409" t="s">
        <v>475</v>
      </c>
      <c r="C67" s="236">
        <f>(C8-C25)*C63</f>
        <v>876421.44128107722</v>
      </c>
      <c r="D67" s="406">
        <v>0</v>
      </c>
      <c r="E67" s="236">
        <f t="shared" si="0"/>
        <v>876421.44128107722</v>
      </c>
      <c r="F67" s="41"/>
    </row>
    <row r="68" spans="2:6">
      <c r="B68" s="409" t="s">
        <v>479</v>
      </c>
      <c r="C68" s="235">
        <f>('LBO Model'!C54-'LBO Model'!C50)*C63</f>
        <v>0</v>
      </c>
      <c r="D68" s="235">
        <f>('3- Statement Model'!I245-'3- Statement Model'!E240-'3- Statement Model'!E244)*D63</f>
        <v>273660.77740381035</v>
      </c>
      <c r="E68" s="236">
        <f t="shared" si="0"/>
        <v>-273660.77740381035</v>
      </c>
      <c r="F68" s="41"/>
    </row>
    <row r="69" spans="2:6">
      <c r="B69" s="219" t="s">
        <v>482</v>
      </c>
      <c r="C69" s="244">
        <f>C53+(C60-C59)+C64+C65+C66+C67+C68</f>
        <v>5628792.8518187823</v>
      </c>
      <c r="D69" s="244">
        <f>D53+(D60-D59)+D64+D65+D66+D67+D68</f>
        <v>4653539.2376818573</v>
      </c>
      <c r="E69" s="244">
        <f t="shared" si="0"/>
        <v>975253.61413692497</v>
      </c>
      <c r="F69" s="41"/>
    </row>
    <row r="70" spans="2:6">
      <c r="B70" s="409" t="s">
        <v>483</v>
      </c>
      <c r="C70" s="236">
        <f>SUM(D99:D102)</f>
        <v>0</v>
      </c>
      <c r="D70" s="236">
        <f>SUM(E99:E102)</f>
        <v>710762.40823663934</v>
      </c>
      <c r="E70" s="236">
        <f t="shared" si="0"/>
        <v>-710762.40823663934</v>
      </c>
      <c r="F70" s="41"/>
    </row>
    <row r="71" spans="2:6">
      <c r="B71" s="414" t="s">
        <v>627</v>
      </c>
      <c r="C71" s="402">
        <f>C69-C53+C70+C59</f>
        <v>1680141.9732251507</v>
      </c>
      <c r="D71" s="402">
        <f>D69-D53+D70+D59</f>
        <v>1541094.7207328335</v>
      </c>
      <c r="E71" s="402">
        <f t="shared" si="0"/>
        <v>139047.25249231723</v>
      </c>
      <c r="F71" s="41"/>
    </row>
    <row r="72" spans="2:6" ht="15" thickBot="1">
      <c r="B72" s="41"/>
      <c r="C72" s="41"/>
      <c r="D72" s="41"/>
      <c r="E72" s="41"/>
    </row>
    <row r="73" spans="2:6" ht="16" thickTop="1">
      <c r="B73" s="283" t="s">
        <v>337</v>
      </c>
      <c r="C73" s="283"/>
      <c r="D73" s="283"/>
      <c r="E73" s="283"/>
    </row>
    <row r="74" spans="2:6" ht="29.5" thickBot="1">
      <c r="B74" s="108"/>
      <c r="C74" s="231" t="s">
        <v>358</v>
      </c>
      <c r="D74" s="231" t="s">
        <v>249</v>
      </c>
      <c r="E74" s="245" t="s">
        <v>250</v>
      </c>
    </row>
    <row r="75" spans="2:6">
      <c r="B75" s="160" t="s">
        <v>338</v>
      </c>
      <c r="C75" s="255">
        <f>SUM(D90:D97)</f>
        <v>782943.84010000003</v>
      </c>
      <c r="D75" s="255">
        <f>SUM(E90:E97)</f>
        <v>782943.84010000003</v>
      </c>
      <c r="E75" s="255">
        <f>C75-D75</f>
        <v>0</v>
      </c>
    </row>
    <row r="76" spans="2:6">
      <c r="B76" s="160" t="s">
        <v>339</v>
      </c>
      <c r="C76" s="255">
        <f>SUM(D99:D102)</f>
        <v>0</v>
      </c>
      <c r="D76" s="255">
        <f>SUM(E99:E102)</f>
        <v>710762.40823663934</v>
      </c>
      <c r="E76" s="255">
        <f>SUM(F99:F102)</f>
        <v>-710762.40823663934</v>
      </c>
    </row>
    <row r="77" spans="2:6">
      <c r="B77" s="211" t="s">
        <v>340</v>
      </c>
      <c r="C77" s="265">
        <f>C75+C76</f>
        <v>782943.84010000003</v>
      </c>
      <c r="D77" s="265">
        <f>D75+D76</f>
        <v>1493706.2483366393</v>
      </c>
      <c r="E77" s="265">
        <f>E75+E76</f>
        <v>-710762.40823663934</v>
      </c>
    </row>
    <row r="78" spans="2:6">
      <c r="B78" s="160" t="s">
        <v>341</v>
      </c>
      <c r="C78" s="255">
        <f>D89</f>
        <v>1800000</v>
      </c>
      <c r="D78" s="255">
        <f>E89</f>
        <v>1800000</v>
      </c>
      <c r="E78" s="255">
        <f>F89</f>
        <v>0</v>
      </c>
    </row>
    <row r="79" spans="2:6">
      <c r="B79" s="160" t="s">
        <v>336</v>
      </c>
      <c r="C79" s="255">
        <f>D103</f>
        <v>5628792.8518187832</v>
      </c>
      <c r="D79" s="255">
        <f>E103</f>
        <v>4653539.2376818582</v>
      </c>
      <c r="E79" s="255">
        <f>F103</f>
        <v>975253.61413692497</v>
      </c>
    </row>
    <row r="80" spans="2:6">
      <c r="B80" s="211" t="s">
        <v>342</v>
      </c>
      <c r="C80" s="265">
        <f>SUM(C77:C79)</f>
        <v>8211736.6919187829</v>
      </c>
      <c r="D80" s="265">
        <f>SUM(D77:D79)</f>
        <v>7947245.4860184975</v>
      </c>
      <c r="E80" s="265">
        <f>SUM(E77:E79)</f>
        <v>264491.20590028563</v>
      </c>
    </row>
    <row r="81" spans="2:13">
      <c r="B81" s="160" t="s">
        <v>343</v>
      </c>
      <c r="C81" s="255">
        <f>SUM(D87,D88,D98)</f>
        <v>-1995443.9534079684</v>
      </c>
      <c r="D81" s="255">
        <f>SUM(E87,E88)</f>
        <v>-1870000</v>
      </c>
      <c r="E81" s="255">
        <f>C81-D81</f>
        <v>-125443.95340796839</v>
      </c>
    </row>
    <row r="82" spans="2:13" ht="15" thickBot="1">
      <c r="B82" s="234" t="s">
        <v>344</v>
      </c>
      <c r="C82" s="266">
        <f>SUM(C80:C81)</f>
        <v>6216292.7385108145</v>
      </c>
      <c r="D82" s="266">
        <f>SUM(D80:D81)</f>
        <v>6077245.4860184975</v>
      </c>
      <c r="E82" s="266">
        <f>SUM(E80:E81)</f>
        <v>139047.25249231723</v>
      </c>
    </row>
    <row r="83" spans="2:13" ht="15.5" thickTop="1" thickBot="1"/>
    <row r="84" spans="2:13" ht="16" thickTop="1">
      <c r="B84" s="283" t="s">
        <v>609</v>
      </c>
      <c r="C84" s="283"/>
      <c r="D84" s="283"/>
      <c r="E84" s="283"/>
      <c r="F84" s="283"/>
    </row>
    <row r="85" spans="2:13" ht="44" thickBot="1">
      <c r="B85" s="108" t="s">
        <v>217</v>
      </c>
      <c r="C85" s="188" t="s">
        <v>218</v>
      </c>
      <c r="D85" s="231" t="s">
        <v>358</v>
      </c>
      <c r="E85" s="231" t="s">
        <v>249</v>
      </c>
      <c r="F85" s="231" t="s">
        <v>335</v>
      </c>
      <c r="G85" s="181" t="s">
        <v>568</v>
      </c>
      <c r="L85" s="20" t="s">
        <v>512</v>
      </c>
    </row>
    <row r="86" spans="2:13" ht="7" customHeight="1">
      <c r="B86" s="41"/>
      <c r="C86" s="41"/>
      <c r="D86" s="41"/>
      <c r="E86" s="41"/>
      <c r="F86" s="41"/>
      <c r="G86" s="41"/>
    </row>
    <row r="87" spans="2:13">
      <c r="B87" s="13" t="s">
        <v>221</v>
      </c>
      <c r="C87" s="251">
        <v>42663</v>
      </c>
      <c r="D87" s="255">
        <f>-$C$11</f>
        <v>-850000</v>
      </c>
      <c r="E87" s="255">
        <f>-$C$11</f>
        <v>-850000</v>
      </c>
      <c r="F87" s="255">
        <f>D87-E87</f>
        <v>0</v>
      </c>
      <c r="G87" s="41"/>
      <c r="L87" s="17">
        <f t="shared" ref="L87:L102" si="1">D87</f>
        <v>-850000</v>
      </c>
      <c r="M87" s="14">
        <f t="shared" ref="M87:M102" si="2">F87</f>
        <v>0</v>
      </c>
    </row>
    <row r="88" spans="2:13">
      <c r="B88" s="13" t="s">
        <v>220</v>
      </c>
      <c r="C88" s="251">
        <v>42750</v>
      </c>
      <c r="D88" s="255">
        <f>-$C$12</f>
        <v>-1020000</v>
      </c>
      <c r="E88" s="255">
        <f>-$C$12</f>
        <v>-1020000</v>
      </c>
      <c r="F88" s="255">
        <f t="shared" ref="F88:F102" si="3">D88-E88</f>
        <v>0</v>
      </c>
      <c r="G88" s="41"/>
      <c r="L88" s="17">
        <f t="shared" si="1"/>
        <v>-1020000</v>
      </c>
      <c r="M88" s="14">
        <f t="shared" si="2"/>
        <v>0</v>
      </c>
    </row>
    <row r="89" spans="2:13">
      <c r="B89" s="13" t="s">
        <v>222</v>
      </c>
      <c r="C89" s="251">
        <v>44907</v>
      </c>
      <c r="D89" s="255">
        <f>$C$13</f>
        <v>1800000</v>
      </c>
      <c r="E89" s="255">
        <f>$C$13</f>
        <v>1800000</v>
      </c>
      <c r="F89" s="255">
        <f t="shared" si="3"/>
        <v>0</v>
      </c>
      <c r="G89" s="41"/>
      <c r="L89" s="17">
        <f t="shared" si="1"/>
        <v>1800000</v>
      </c>
      <c r="M89" s="14">
        <f t="shared" si="2"/>
        <v>0</v>
      </c>
    </row>
    <row r="90" spans="2:13">
      <c r="B90" s="248" t="s">
        <v>236</v>
      </c>
      <c r="C90" s="252">
        <v>43600</v>
      </c>
      <c r="D90" s="256">
        <v>105941</v>
      </c>
      <c r="E90" s="257">
        <f>D90</f>
        <v>105941</v>
      </c>
      <c r="F90" s="257">
        <f t="shared" si="3"/>
        <v>0</v>
      </c>
      <c r="G90" s="41"/>
      <c r="L90" s="17">
        <f t="shared" si="1"/>
        <v>105941</v>
      </c>
      <c r="M90" s="14">
        <f t="shared" si="2"/>
        <v>0</v>
      </c>
    </row>
    <row r="91" spans="2:13">
      <c r="B91" s="13" t="s">
        <v>235</v>
      </c>
      <c r="C91" s="251">
        <v>43966</v>
      </c>
      <c r="D91" s="258">
        <v>59949</v>
      </c>
      <c r="E91" s="255">
        <f t="shared" ref="E91:E97" si="4">D91</f>
        <v>59949</v>
      </c>
      <c r="F91" s="255">
        <f t="shared" si="3"/>
        <v>0</v>
      </c>
      <c r="G91" s="41"/>
      <c r="L91" s="17">
        <f t="shared" si="1"/>
        <v>59949</v>
      </c>
      <c r="M91" s="14">
        <f t="shared" si="2"/>
        <v>0</v>
      </c>
    </row>
    <row r="92" spans="2:13">
      <c r="B92" s="13" t="s">
        <v>234</v>
      </c>
      <c r="C92" s="251">
        <v>44331</v>
      </c>
      <c r="D92" s="258">
        <v>129817</v>
      </c>
      <c r="E92" s="255">
        <f t="shared" si="4"/>
        <v>129817</v>
      </c>
      <c r="F92" s="255">
        <f t="shared" si="3"/>
        <v>0</v>
      </c>
      <c r="G92" s="41"/>
      <c r="L92" s="17">
        <f t="shared" si="1"/>
        <v>129817</v>
      </c>
      <c r="M92" s="14">
        <f t="shared" si="2"/>
        <v>0</v>
      </c>
    </row>
    <row r="93" spans="2:13">
      <c r="B93" s="13" t="s">
        <v>233</v>
      </c>
      <c r="C93" s="251">
        <v>44696</v>
      </c>
      <c r="D93" s="258">
        <v>83089</v>
      </c>
      <c r="E93" s="255">
        <f t="shared" si="4"/>
        <v>83089</v>
      </c>
      <c r="F93" s="255">
        <f t="shared" si="3"/>
        <v>0</v>
      </c>
      <c r="G93" s="41"/>
      <c r="L93" s="17">
        <f t="shared" si="1"/>
        <v>83089</v>
      </c>
      <c r="M93" s="14">
        <f t="shared" si="2"/>
        <v>0</v>
      </c>
    </row>
    <row r="94" spans="2:13">
      <c r="B94" s="13" t="s">
        <v>225</v>
      </c>
      <c r="C94" s="251">
        <v>45061</v>
      </c>
      <c r="D94" s="258">
        <f>103500*66.03%</f>
        <v>68341.05</v>
      </c>
      <c r="E94" s="255">
        <f t="shared" si="4"/>
        <v>68341.05</v>
      </c>
      <c r="F94" s="255">
        <f t="shared" si="3"/>
        <v>0</v>
      </c>
      <c r="G94" s="41"/>
      <c r="L94" s="17">
        <f t="shared" si="1"/>
        <v>68341.05</v>
      </c>
      <c r="M94" s="14">
        <f t="shared" si="2"/>
        <v>0</v>
      </c>
    </row>
    <row r="95" spans="2:13">
      <c r="B95" s="13" t="s">
        <v>226</v>
      </c>
      <c r="C95" s="251">
        <v>45427</v>
      </c>
      <c r="D95" s="258">
        <f>180000*66.03%</f>
        <v>118854</v>
      </c>
      <c r="E95" s="255">
        <f t="shared" si="4"/>
        <v>118854</v>
      </c>
      <c r="F95" s="255">
        <f t="shared" si="3"/>
        <v>0</v>
      </c>
      <c r="G95" s="247"/>
      <c r="L95" s="17">
        <f t="shared" si="1"/>
        <v>118854</v>
      </c>
      <c r="M95" s="14">
        <f t="shared" si="2"/>
        <v>0</v>
      </c>
    </row>
    <row r="96" spans="2:13">
      <c r="B96" s="13" t="s">
        <v>227</v>
      </c>
      <c r="C96" s="251">
        <v>45792</v>
      </c>
      <c r="D96" s="258">
        <f>127000*66.03%</f>
        <v>83858.100000000006</v>
      </c>
      <c r="E96" s="255">
        <f t="shared" si="4"/>
        <v>83858.100000000006</v>
      </c>
      <c r="F96" s="255">
        <f t="shared" si="3"/>
        <v>0</v>
      </c>
      <c r="G96" s="41"/>
      <c r="L96" s="17">
        <f t="shared" si="1"/>
        <v>83858.100000000006</v>
      </c>
      <c r="M96" s="14">
        <f t="shared" si="2"/>
        <v>0</v>
      </c>
    </row>
    <row r="97" spans="2:19">
      <c r="B97" s="13" t="s">
        <v>228</v>
      </c>
      <c r="C97" s="251">
        <v>46157</v>
      </c>
      <c r="D97" s="259">
        <f>Assumptions!J104*C14</f>
        <v>133094.69010000001</v>
      </c>
      <c r="E97" s="255">
        <f t="shared" si="4"/>
        <v>133094.69010000001</v>
      </c>
      <c r="F97" s="255">
        <f t="shared" si="3"/>
        <v>0</v>
      </c>
      <c r="G97" s="41"/>
      <c r="L97" s="17">
        <f t="shared" si="1"/>
        <v>133094.69010000001</v>
      </c>
      <c r="M97" s="14">
        <f t="shared" si="2"/>
        <v>0</v>
      </c>
    </row>
    <row r="98" spans="2:19">
      <c r="B98" s="249" t="s">
        <v>254</v>
      </c>
      <c r="C98" s="253">
        <v>46188</v>
      </c>
      <c r="D98" s="260">
        <f>-'LBO Model'!C62</f>
        <v>-125443.95340796839</v>
      </c>
      <c r="E98" s="261">
        <v>0</v>
      </c>
      <c r="F98" s="262">
        <f>IF(D98-E98&lt;&gt;0,D98-E98,-0.00000001)</f>
        <v>-125443.95340796839</v>
      </c>
      <c r="G98" s="41"/>
      <c r="H98" s="14"/>
      <c r="L98" s="17">
        <f t="shared" si="1"/>
        <v>-125443.95340796839</v>
      </c>
      <c r="M98" s="14">
        <f t="shared" si="2"/>
        <v>-125443.95340796839</v>
      </c>
    </row>
    <row r="99" spans="2:19">
      <c r="B99" s="13" t="s">
        <v>229</v>
      </c>
      <c r="C99" s="251">
        <v>46522</v>
      </c>
      <c r="D99" s="259">
        <f>'3- Statement Model'!F140</f>
        <v>0</v>
      </c>
      <c r="E99" s="259">
        <f>-'3- Statement Model'!F$244*C14</f>
        <v>144623.70066645122</v>
      </c>
      <c r="F99" s="255">
        <f>D99-E99</f>
        <v>-144623.70066645122</v>
      </c>
      <c r="G99" s="41"/>
      <c r="H99" s="14"/>
      <c r="L99" s="17">
        <f t="shared" si="1"/>
        <v>0</v>
      </c>
      <c r="M99" s="14">
        <f t="shared" si="2"/>
        <v>-144623.70066645122</v>
      </c>
    </row>
    <row r="100" spans="2:19">
      <c r="B100" s="13" t="s">
        <v>230</v>
      </c>
      <c r="C100" s="251">
        <v>46888</v>
      </c>
      <c r="D100" s="259">
        <f>'3- Statement Model'!G$140</f>
        <v>0</v>
      </c>
      <c r="E100" s="259">
        <f>-'3- Statement Model'!G$244*C14</f>
        <v>167004.22337822951</v>
      </c>
      <c r="F100" s="255">
        <f>D100-E100</f>
        <v>-167004.22337822951</v>
      </c>
      <c r="G100" s="41"/>
      <c r="H100" s="14"/>
      <c r="L100" s="17">
        <f t="shared" si="1"/>
        <v>0</v>
      </c>
      <c r="M100" s="14">
        <f t="shared" si="2"/>
        <v>-167004.22337822951</v>
      </c>
    </row>
    <row r="101" spans="2:19">
      <c r="B101" s="13" t="s">
        <v>231</v>
      </c>
      <c r="C101" s="251">
        <v>47253</v>
      </c>
      <c r="D101" s="259">
        <f>'3- Statement Model'!H$140</f>
        <v>0</v>
      </c>
      <c r="E101" s="259">
        <f>-'3- Statement Model'!H$244*C14</f>
        <v>187729.40318519459</v>
      </c>
      <c r="F101" s="255">
        <f>D101-E101</f>
        <v>-187729.40318519459</v>
      </c>
      <c r="G101" s="41"/>
      <c r="H101" s="14"/>
      <c r="L101" s="17">
        <f t="shared" si="1"/>
        <v>0</v>
      </c>
      <c r="M101" s="14">
        <f t="shared" si="2"/>
        <v>-187729.40318519459</v>
      </c>
    </row>
    <row r="102" spans="2:19">
      <c r="B102" s="13" t="s">
        <v>232</v>
      </c>
      <c r="C102" s="251">
        <v>47618</v>
      </c>
      <c r="D102" s="259">
        <f>'3- Statement Model'!I$140</f>
        <v>0</v>
      </c>
      <c r="E102" s="259">
        <f>-'3- Statement Model'!I$244*C14</f>
        <v>211405.08100676409</v>
      </c>
      <c r="F102" s="255">
        <f t="shared" si="3"/>
        <v>-211405.08100676409</v>
      </c>
      <c r="G102" s="41"/>
      <c r="H102" s="14"/>
      <c r="L102" s="17">
        <f t="shared" si="1"/>
        <v>0</v>
      </c>
      <c r="M102" s="14">
        <f t="shared" si="2"/>
        <v>-211405.08100676409</v>
      </c>
    </row>
    <row r="103" spans="2:19" ht="15" thickBot="1">
      <c r="B103" s="250" t="s">
        <v>223</v>
      </c>
      <c r="C103" s="254">
        <v>47848</v>
      </c>
      <c r="D103" s="263">
        <f>($C$23*$C$24)-($C$25)+$C$27-$C$26</f>
        <v>5628792.8518187832</v>
      </c>
      <c r="E103" s="264">
        <f>((($C$23*$C$24)+'3- Statement Model'!$I$245)-$C$26)*$C$14</f>
        <v>4653539.2376818582</v>
      </c>
      <c r="F103" s="263">
        <f>D103-E103</f>
        <v>975253.61413692497</v>
      </c>
      <c r="G103" s="41"/>
      <c r="H103" s="14"/>
      <c r="L103" s="17">
        <f>(M104*$C$24)-($C$25)+$C$27-$C$26</f>
        <v>4209150.0559638683</v>
      </c>
      <c r="M103" s="17">
        <f>((M104*$C$24)-($C$25)+$C$27-$C$26)-((((M104*$C$24)+'3- Statement Model'!$I$245)-$C$26)*$C$14)</f>
        <v>493000.95638501178</v>
      </c>
      <c r="O103" s="393"/>
    </row>
    <row r="104" spans="2:19" ht="18.5" customHeight="1" thickTop="1" thickBot="1">
      <c r="G104" s="13"/>
      <c r="H104" s="10"/>
      <c r="J104" s="10"/>
      <c r="K104" s="10"/>
      <c r="L104">
        <v>1</v>
      </c>
      <c r="M104" s="14">
        <f>CHOOSE(L104,C128,D128,E128,F128,G128)</f>
        <v>701924.74455125653</v>
      </c>
      <c r="N104" s="1"/>
      <c r="O104" s="9"/>
      <c r="P104" s="9"/>
      <c r="Q104" s="1"/>
      <c r="R104" s="1"/>
      <c r="S104" s="1"/>
    </row>
    <row r="105" spans="2:19" ht="18.5" customHeight="1" thickTop="1">
      <c r="B105" s="285" t="s">
        <v>610</v>
      </c>
      <c r="C105" s="305"/>
      <c r="D105" s="305"/>
      <c r="E105" s="305"/>
      <c r="G105" s="13"/>
      <c r="H105" s="10"/>
      <c r="J105" s="10"/>
      <c r="K105" s="10"/>
      <c r="N105" s="1"/>
      <c r="O105" s="9"/>
      <c r="P105" s="9"/>
      <c r="Q105" s="1"/>
      <c r="R105" s="1"/>
      <c r="S105" s="1"/>
    </row>
    <row r="106" spans="2:19" ht="18.5" customHeight="1" thickBot="1">
      <c r="B106" s="107"/>
      <c r="C106" s="246" t="s">
        <v>22</v>
      </c>
      <c r="D106" s="246" t="s">
        <v>21</v>
      </c>
      <c r="E106" s="245" t="s">
        <v>239</v>
      </c>
      <c r="G106" s="13"/>
      <c r="H106" s="10"/>
      <c r="J106" s="10"/>
      <c r="K106" s="10"/>
      <c r="N106" s="1"/>
      <c r="O106" s="9"/>
      <c r="P106" s="9"/>
      <c r="Q106" s="1"/>
      <c r="R106" s="1"/>
      <c r="S106" s="1"/>
    </row>
    <row r="107" spans="2:19" ht="14.5" customHeight="1">
      <c r="B107" s="182" t="s">
        <v>238</v>
      </c>
      <c r="C107" s="267">
        <v>0.03</v>
      </c>
      <c r="D107" s="267">
        <v>0.04</v>
      </c>
      <c r="E107" s="267">
        <v>0.05</v>
      </c>
      <c r="G107" s="13"/>
      <c r="H107" s="10"/>
      <c r="J107" s="10"/>
      <c r="K107" s="10"/>
      <c r="N107" s="1"/>
      <c r="O107" s="9"/>
      <c r="P107" s="9"/>
      <c r="Q107" s="1"/>
      <c r="R107" s="1"/>
      <c r="S107" s="1"/>
    </row>
    <row r="108" spans="2:19" ht="14.5" customHeight="1">
      <c r="B108" s="182" t="s">
        <v>1</v>
      </c>
      <c r="C108" s="268">
        <v>110</v>
      </c>
      <c r="D108" s="268">
        <v>125</v>
      </c>
      <c r="E108" s="268">
        <v>140</v>
      </c>
      <c r="G108" s="13"/>
      <c r="H108" s="10"/>
      <c r="J108" s="10"/>
      <c r="K108" s="10"/>
      <c r="N108" s="1"/>
      <c r="O108" s="9"/>
      <c r="P108" s="9"/>
      <c r="Q108" s="1"/>
      <c r="R108" s="1"/>
      <c r="S108" s="1"/>
    </row>
    <row r="109" spans="2:19" ht="14.5" customHeight="1">
      <c r="B109" s="182" t="s">
        <v>619</v>
      </c>
      <c r="C109" s="389">
        <v>6.83E-2</v>
      </c>
      <c r="D109" s="389">
        <v>8.3500000000000005E-2</v>
      </c>
      <c r="E109" s="389">
        <v>9.8699999999999996E-2</v>
      </c>
      <c r="G109" s="13"/>
      <c r="H109" s="10"/>
      <c r="J109" s="10"/>
      <c r="K109" s="10"/>
      <c r="N109" s="1"/>
      <c r="O109" s="9"/>
      <c r="P109" s="9"/>
      <c r="Q109" s="1"/>
      <c r="R109" s="1"/>
      <c r="S109" s="1"/>
    </row>
    <row r="110" spans="2:19" ht="14.5" customHeight="1">
      <c r="B110" s="269" t="s">
        <v>11</v>
      </c>
      <c r="C110" s="267">
        <v>8.5000000000000006E-2</v>
      </c>
      <c r="D110" s="267">
        <v>7.0000000000000007E-2</v>
      </c>
      <c r="E110" s="267">
        <v>6.5000000000000002E-2</v>
      </c>
      <c r="G110" s="13"/>
      <c r="H110" s="10"/>
      <c r="J110" s="10"/>
      <c r="K110" s="10"/>
      <c r="N110" s="1"/>
      <c r="O110" s="9"/>
      <c r="P110" s="9"/>
      <c r="Q110" s="1"/>
      <c r="R110" s="1"/>
      <c r="S110" s="1"/>
    </row>
    <row r="111" spans="2:19" ht="14.5" customHeight="1">
      <c r="B111" s="269" t="s">
        <v>3</v>
      </c>
      <c r="C111" s="267">
        <v>0.23</v>
      </c>
      <c r="D111" s="267">
        <v>0.23499999999999999</v>
      </c>
      <c r="E111" s="267">
        <v>0.24</v>
      </c>
      <c r="G111" s="10"/>
      <c r="H111" s="10"/>
      <c r="J111" s="10"/>
    </row>
    <row r="112" spans="2:19" ht="14.5" customHeight="1">
      <c r="B112" s="182" t="s">
        <v>83</v>
      </c>
      <c r="C112" s="267">
        <v>0.04</v>
      </c>
      <c r="D112" s="267">
        <v>4.4999999999999998E-2</v>
      </c>
      <c r="E112" s="267">
        <v>0.05</v>
      </c>
      <c r="G112" s="10"/>
      <c r="H112" s="10"/>
      <c r="J112" s="10"/>
    </row>
    <row r="113" spans="2:10" ht="14.5" customHeight="1">
      <c r="B113" s="182" t="s">
        <v>323</v>
      </c>
      <c r="C113" s="415">
        <v>8.09</v>
      </c>
      <c r="D113" s="415">
        <v>8.09</v>
      </c>
      <c r="E113" s="415">
        <v>8.09</v>
      </c>
      <c r="G113" s="1"/>
      <c r="H113" s="1"/>
      <c r="J113" s="1"/>
    </row>
    <row r="114" spans="2:10" ht="15" thickBot="1">
      <c r="B114" s="387" t="s">
        <v>620</v>
      </c>
      <c r="C114" s="416">
        <v>-0.14979999999999999</v>
      </c>
      <c r="D114" s="416">
        <v>6.5600000000000006E-2</v>
      </c>
      <c r="E114" s="416">
        <v>0.15049999999999999</v>
      </c>
    </row>
    <row r="115" spans="2:10" ht="15" thickTop="1"/>
    <row r="116" spans="2:10" ht="15.5">
      <c r="B116" s="284" t="s">
        <v>621</v>
      </c>
      <c r="C116" s="271"/>
      <c r="D116" s="271"/>
      <c r="E116" s="271"/>
      <c r="F116" s="271"/>
      <c r="G116" s="271"/>
      <c r="H116" s="271"/>
    </row>
    <row r="117" spans="2:10">
      <c r="B117" s="273"/>
      <c r="C117" s="373">
        <v>10</v>
      </c>
      <c r="D117" s="374">
        <v>10.5</v>
      </c>
      <c r="E117" s="374">
        <v>10.65</v>
      </c>
      <c r="F117" s="374">
        <v>11</v>
      </c>
      <c r="G117" s="374">
        <v>11.5</v>
      </c>
      <c r="H117" s="274" t="s">
        <v>183</v>
      </c>
    </row>
    <row r="118" spans="2:10" hidden="1">
      <c r="B118" s="272">
        <f>XIRR(F98:F103,C98:C103)</f>
        <v>6.5586128830909751E-2</v>
      </c>
      <c r="C118" s="270">
        <v>2.4550000000000001</v>
      </c>
      <c r="D118" s="270">
        <v>2.5299999999999998</v>
      </c>
      <c r="E118" s="270">
        <v>2.62</v>
      </c>
      <c r="F118" s="270">
        <v>2.6850000000000001</v>
      </c>
      <c r="G118" s="270">
        <v>2.8370000000000002</v>
      </c>
      <c r="H118" s="279" t="s">
        <v>322</v>
      </c>
    </row>
    <row r="119" spans="2:10">
      <c r="B119" s="375">
        <v>7</v>
      </c>
      <c r="C119" s="165">
        <f t="dataTable" ref="C119:G123" dt2D="1" dtr="1" r1="C15" r2="C24" ca="1"/>
        <v>2.9802322387695314E-9</v>
      </c>
      <c r="D119" s="165">
        <v>2.9802322387695314E-9</v>
      </c>
      <c r="E119" s="165">
        <v>-0.10536494692787526</v>
      </c>
      <c r="F119" s="165">
        <v>-0.12376412879675627</v>
      </c>
      <c r="G119" s="165">
        <v>-0.15847338195890187</v>
      </c>
      <c r="H119" s="280"/>
    </row>
    <row r="120" spans="2:10">
      <c r="B120" s="375">
        <v>8</v>
      </c>
      <c r="C120" s="165">
        <v>0.15438194870948796</v>
      </c>
      <c r="D120" s="165">
        <v>0.10106053948402405</v>
      </c>
      <c r="E120" s="165">
        <v>5.3627189993858349E-2</v>
      </c>
      <c r="F120" s="165">
        <v>2.6656016707420353E-2</v>
      </c>
      <c r="G120" s="165">
        <v>-2.2293522953987122E-2</v>
      </c>
      <c r="H120" s="280"/>
    </row>
    <row r="121" spans="2:10">
      <c r="B121" s="375">
        <v>9</v>
      </c>
      <c r="C121" s="165">
        <v>0.30385885834693915</v>
      </c>
      <c r="D121" s="165">
        <v>0.23361929059028627</v>
      </c>
      <c r="E121" s="165">
        <v>0.17219544053077698</v>
      </c>
      <c r="F121" s="165">
        <v>0.13828925490379335</v>
      </c>
      <c r="G121" s="165">
        <v>7.8206881880760207E-2</v>
      </c>
      <c r="H121" s="280"/>
    </row>
    <row r="122" spans="2:10">
      <c r="B122" s="375">
        <v>10</v>
      </c>
      <c r="C122" s="165">
        <v>0.42721285223960881</v>
      </c>
      <c r="D122" s="165">
        <v>0.34117085337638853</v>
      </c>
      <c r="E122" s="165">
        <v>0.2676224410533905</v>
      </c>
      <c r="F122" s="165">
        <v>0.22788901925086977</v>
      </c>
      <c r="G122" s="165">
        <v>0.15864518284797674</v>
      </c>
      <c r="H122" s="280"/>
    </row>
    <row r="123" spans="2:10">
      <c r="B123" s="375">
        <v>11</v>
      </c>
      <c r="C123" s="165">
        <v>0.53304881453514097</v>
      </c>
      <c r="D123" s="165">
        <v>0.43224447369575492</v>
      </c>
      <c r="E123" s="165">
        <v>0.34797329306602476</v>
      </c>
      <c r="F123" s="165">
        <v>0.30320009589195251</v>
      </c>
      <c r="G123" s="165">
        <v>0.22614497542381282</v>
      </c>
      <c r="H123" s="281"/>
    </row>
    <row r="124" spans="2:10">
      <c r="B124" s="275" t="s">
        <v>321</v>
      </c>
      <c r="C124" s="276"/>
      <c r="D124" s="277"/>
      <c r="E124" s="277"/>
      <c r="F124" s="278"/>
      <c r="G124" s="278"/>
      <c r="H124" s="280"/>
    </row>
    <row r="127" spans="2:10" ht="15.5">
      <c r="B127" s="284" t="s">
        <v>611</v>
      </c>
      <c r="C127" s="271"/>
      <c r="D127" s="271"/>
      <c r="E127" s="271"/>
      <c r="F127" s="271"/>
      <c r="G127" s="271"/>
      <c r="H127" s="271"/>
      <c r="I127" s="181" t="s">
        <v>573</v>
      </c>
    </row>
    <row r="128" spans="2:10">
      <c r="B128" s="273"/>
      <c r="C128" s="376">
        <f>E128*0.8</f>
        <v>701924.74455125653</v>
      </c>
      <c r="D128" s="377">
        <f>E128*0.9</f>
        <v>789665.33762016357</v>
      </c>
      <c r="E128" s="377">
        <f>$C$23</f>
        <v>877405.93068907061</v>
      </c>
      <c r="F128" s="377">
        <f>E128*1.1</f>
        <v>965146.52375797776</v>
      </c>
      <c r="G128" s="377">
        <f>E128*1.2</f>
        <v>1052887.1168268847</v>
      </c>
      <c r="H128" s="274" t="s">
        <v>511</v>
      </c>
    </row>
    <row r="129" spans="2:13" hidden="1">
      <c r="B129" s="272">
        <f>XIRR(M98:M103,C98:C103)</f>
        <v>2.9802322387695314E-9</v>
      </c>
      <c r="C129" s="270">
        <v>1</v>
      </c>
      <c r="D129" s="270">
        <v>2</v>
      </c>
      <c r="E129" s="270">
        <v>3</v>
      </c>
      <c r="F129" s="270">
        <v>4</v>
      </c>
      <c r="G129" s="270">
        <v>5</v>
      </c>
      <c r="H129" s="279"/>
    </row>
    <row r="130" spans="2:13">
      <c r="B130" s="375">
        <v>7</v>
      </c>
      <c r="C130" s="165">
        <f t="dataTable" ref="C130:G134" dt2D="1" dtr="1" r1="L104" r2="C24"/>
        <v>2.9802322387695314E-9</v>
      </c>
      <c r="D130" s="165">
        <v>2.9802322387695314E-9</v>
      </c>
      <c r="E130" s="165">
        <v>-0.10536494692787526</v>
      </c>
      <c r="F130" s="165">
        <v>1.1409172415733339E-2</v>
      </c>
      <c r="G130" s="165">
        <v>0.10461341738700869</v>
      </c>
      <c r="H130" s="280"/>
    </row>
    <row r="131" spans="2:13">
      <c r="B131" s="375">
        <v>8</v>
      </c>
      <c r="C131" s="165">
        <v>2.9802322387695314E-9</v>
      </c>
      <c r="D131" s="390">
        <v>-6.8837532401084894E-2</v>
      </c>
      <c r="E131" s="165">
        <v>5.3627189993858349E-2</v>
      </c>
      <c r="F131" s="165">
        <v>0.15069474577903752</v>
      </c>
      <c r="G131" s="165">
        <v>0.23159844279289249</v>
      </c>
      <c r="H131" s="280"/>
    </row>
    <row r="132" spans="2:13">
      <c r="B132" s="375">
        <v>9</v>
      </c>
      <c r="C132" s="165">
        <v>-6.8837532401084894E-2</v>
      </c>
      <c r="D132" s="165">
        <v>6.68963998556137E-2</v>
      </c>
      <c r="E132" s="165">
        <v>0.17219544053077698</v>
      </c>
      <c r="F132" s="165">
        <v>0.25885327458381657</v>
      </c>
      <c r="G132" s="165">
        <v>0.33286451697349562</v>
      </c>
      <c r="H132" s="280"/>
    </row>
    <row r="133" spans="2:13">
      <c r="B133" s="375">
        <v>10</v>
      </c>
      <c r="C133" s="165">
        <v>5.3627189993858349E-2</v>
      </c>
      <c r="D133" s="165">
        <v>0.17219544053077698</v>
      </c>
      <c r="E133" s="165">
        <v>0.2676224410533905</v>
      </c>
      <c r="F133" s="165">
        <v>0.34797329306602476</v>
      </c>
      <c r="G133" s="165">
        <v>0.41767544150352476</v>
      </c>
      <c r="H133" s="280"/>
    </row>
    <row r="134" spans="2:13">
      <c r="B134" s="375">
        <v>11</v>
      </c>
      <c r="C134" s="165">
        <v>0.15069474577903752</v>
      </c>
      <c r="D134" s="165">
        <v>0.25885327458381657</v>
      </c>
      <c r="E134" s="165">
        <v>0.34797329306602476</v>
      </c>
      <c r="F134" s="165">
        <v>0.42417362332344055</v>
      </c>
      <c r="G134" s="165">
        <v>0.49099245667457569</v>
      </c>
      <c r="H134" s="281"/>
    </row>
    <row r="135" spans="2:13">
      <c r="B135" s="275" t="s">
        <v>321</v>
      </c>
      <c r="C135" s="276"/>
      <c r="D135" s="277"/>
      <c r="E135" s="277"/>
      <c r="F135" s="278"/>
      <c r="G135" s="278"/>
      <c r="H135" s="280"/>
      <c r="L135">
        <f>L136+0.035</f>
        <v>9.0624227441285538E-2</v>
      </c>
    </row>
    <row r="136" spans="2:13">
      <c r="L136">
        <f>0.45/8.09</f>
        <v>5.5624227441285541E-2</v>
      </c>
    </row>
    <row r="137" spans="2:13">
      <c r="L137" s="393">
        <v>0.04</v>
      </c>
      <c r="M137">
        <v>125</v>
      </c>
    </row>
    <row r="138" spans="2:13" ht="15.5">
      <c r="B138" s="284" t="s">
        <v>649</v>
      </c>
      <c r="C138" s="271"/>
      <c r="D138" s="271"/>
      <c r="E138" s="271"/>
      <c r="F138" s="271"/>
      <c r="G138" s="271"/>
      <c r="H138" s="271"/>
      <c r="L138" s="56">
        <f>'3- Statement Model'!$D$6/M138</f>
        <v>912.63041105856678</v>
      </c>
      <c r="M138">
        <v>2749</v>
      </c>
    </row>
    <row r="139" spans="2:13">
      <c r="B139" s="273"/>
      <c r="C139" s="391">
        <v>-0.01</v>
      </c>
      <c r="D139" s="395">
        <v>0.01</v>
      </c>
      <c r="E139" s="392">
        <v>0.03</v>
      </c>
      <c r="F139" s="392">
        <v>0.05</v>
      </c>
      <c r="G139" s="392">
        <v>7.0000000000000007E-2</v>
      </c>
      <c r="H139" s="274" t="s">
        <v>622</v>
      </c>
      <c r="K139" s="393"/>
      <c r="L139" s="394">
        <f>L138*(1+$L$137)</f>
        <v>949.13562750090944</v>
      </c>
      <c r="M139">
        <f>M138+$M$137</f>
        <v>2874</v>
      </c>
    </row>
    <row r="140" spans="2:13">
      <c r="B140" s="410">
        <v>0.08</v>
      </c>
      <c r="C140" s="164">
        <v>-7.5307371653616423E-2</v>
      </c>
      <c r="D140" s="164">
        <v>9.6305304765701316E-2</v>
      </c>
      <c r="E140" s="164">
        <v>0.21740627884864808</v>
      </c>
      <c r="F140" s="164">
        <v>0.31309095025062572</v>
      </c>
      <c r="G140" s="164">
        <v>0.39343829751014725</v>
      </c>
      <c r="H140" s="280"/>
      <c r="K140" s="393"/>
      <c r="L140" s="394">
        <f>L139*(1+$L$137)</f>
        <v>987.10105260094588</v>
      </c>
      <c r="M140">
        <f>M139+$M$137</f>
        <v>2999</v>
      </c>
    </row>
    <row r="141" spans="2:13">
      <c r="B141" s="410">
        <v>8.5000000000000006E-2</v>
      </c>
      <c r="C141" s="164">
        <v>-0.28238138593733308</v>
      </c>
      <c r="D141" s="164">
        <v>-3.6098504997789854E-2</v>
      </c>
      <c r="E141" s="164">
        <v>0.1134931743144989</v>
      </c>
      <c r="F141" s="164">
        <v>0.2241027653217316</v>
      </c>
      <c r="G141" s="164">
        <v>0.31349464058876042</v>
      </c>
      <c r="H141" s="280"/>
      <c r="L141" s="394">
        <f>L140*(1+$L$137)</f>
        <v>1026.5850947049837</v>
      </c>
      <c r="M141">
        <f>M140+$M$137</f>
        <v>3124</v>
      </c>
    </row>
    <row r="142" spans="2:13">
      <c r="B142" s="410">
        <v>0.09</v>
      </c>
      <c r="C142" s="164">
        <v>-0.6050097692990678</v>
      </c>
      <c r="D142" s="164">
        <v>-0.18520898167043925</v>
      </c>
      <c r="E142" s="164">
        <v>7.5126141309738151E-3</v>
      </c>
      <c r="F142" s="164">
        <v>0.13753407597541811</v>
      </c>
      <c r="G142" s="164">
        <v>0.2378327548503876</v>
      </c>
      <c r="H142" s="280"/>
      <c r="L142" s="394">
        <f>L141*(1+$L$137)</f>
        <v>1067.6484984931831</v>
      </c>
      <c r="M142">
        <f>M141+$M$137</f>
        <v>3249</v>
      </c>
    </row>
    <row r="143" spans="2:13">
      <c r="B143" s="410">
        <v>9.5000000000000001E-2</v>
      </c>
      <c r="C143" s="417" t="s">
        <v>646</v>
      </c>
      <c r="D143" s="164">
        <v>-0.36928751366212964</v>
      </c>
      <c r="E143" s="164">
        <v>-0.10449683982878925</v>
      </c>
      <c r="F143" s="164">
        <v>5.1534786820411696E-2</v>
      </c>
      <c r="G143" s="164">
        <v>0.16510046124458314</v>
      </c>
      <c r="H143" s="280"/>
      <c r="L143" s="394">
        <f>L142*(1+$L$137)</f>
        <v>1110.3544384329105</v>
      </c>
      <c r="M143">
        <f>M142+$M$137</f>
        <v>3374</v>
      </c>
    </row>
    <row r="144" spans="2:13">
      <c r="B144" s="410">
        <v>0.1</v>
      </c>
      <c r="C144" s="417" t="s">
        <v>646</v>
      </c>
      <c r="D144" s="164">
        <v>-0.63180432521039598</v>
      </c>
      <c r="E144" s="164">
        <v>-0.22807862944900992</v>
      </c>
      <c r="F144" s="164">
        <v>-3.5737648978829382E-2</v>
      </c>
      <c r="G144" s="164">
        <v>9.4174358248710635E-2</v>
      </c>
      <c r="H144" s="281"/>
    </row>
    <row r="145" spans="2:12">
      <c r="B145" s="275" t="s">
        <v>626</v>
      </c>
      <c r="C145" s="276"/>
      <c r="D145" s="277"/>
      <c r="E145" s="277"/>
      <c r="F145" s="278"/>
      <c r="G145" s="278"/>
      <c r="H145" s="280"/>
      <c r="L145" s="394">
        <f>L138*M138</f>
        <v>2508821</v>
      </c>
    </row>
    <row r="146" spans="2:12">
      <c r="L146">
        <f>L143*M143</f>
        <v>3746335.87527264</v>
      </c>
    </row>
    <row r="147" spans="2:12" ht="15.5">
      <c r="B147" s="284" t="s">
        <v>624</v>
      </c>
      <c r="C147" s="271"/>
      <c r="D147" s="271"/>
      <c r="E147" s="271"/>
      <c r="F147" s="271"/>
      <c r="G147" s="271"/>
      <c r="H147" s="271"/>
      <c r="L147">
        <f>L146/L145</f>
        <v>1.4932655120762461</v>
      </c>
    </row>
    <row r="148" spans="2:12">
      <c r="B148" s="396">
        <v>3.5000000000000003E-2</v>
      </c>
      <c r="C148" s="397">
        <v>0.41</v>
      </c>
      <c r="D148" s="398">
        <v>0.43</v>
      </c>
      <c r="E148" s="398">
        <v>0.45</v>
      </c>
      <c r="F148" s="398">
        <v>0.47</v>
      </c>
      <c r="G148" s="398">
        <v>0.49</v>
      </c>
      <c r="H148" s="274" t="s">
        <v>625</v>
      </c>
      <c r="L148">
        <f>(L147^(1/5))-1</f>
        <v>8.3496236086961995E-2</v>
      </c>
    </row>
    <row r="149" spans="2:12">
      <c r="B149" s="399">
        <v>7.4999999999999997E-2</v>
      </c>
      <c r="C149" s="197">
        <f>C$148/($B149-$B$148)</f>
        <v>10.250000000000002</v>
      </c>
      <c r="D149" s="197">
        <f t="shared" ref="D149:G153" si="5">D$148/($B149-$B$148)</f>
        <v>10.750000000000002</v>
      </c>
      <c r="E149" s="197">
        <f t="shared" si="5"/>
        <v>11.250000000000002</v>
      </c>
      <c r="F149" s="197">
        <f t="shared" si="5"/>
        <v>11.750000000000002</v>
      </c>
      <c r="G149" s="197">
        <f t="shared" si="5"/>
        <v>12.250000000000002</v>
      </c>
      <c r="H149" s="280"/>
    </row>
    <row r="150" spans="2:12">
      <c r="B150" s="400">
        <v>0.08</v>
      </c>
      <c r="C150" s="197">
        <f>C$148/($B150-$B$148)</f>
        <v>9.1111111111111107</v>
      </c>
      <c r="D150" s="197">
        <f t="shared" si="5"/>
        <v>9.5555555555555554</v>
      </c>
      <c r="E150" s="197">
        <f t="shared" si="5"/>
        <v>10</v>
      </c>
      <c r="F150" s="197">
        <f t="shared" si="5"/>
        <v>10.444444444444445</v>
      </c>
      <c r="G150" s="197">
        <f t="shared" si="5"/>
        <v>10.888888888888889</v>
      </c>
      <c r="H150" s="280"/>
    </row>
    <row r="151" spans="2:12">
      <c r="B151" s="400">
        <v>8.5000000000000006E-2</v>
      </c>
      <c r="C151" s="197">
        <f>C$148/($B151-$B$148)</f>
        <v>8.1999999999999993</v>
      </c>
      <c r="D151" s="197">
        <f t="shared" si="5"/>
        <v>8.6</v>
      </c>
      <c r="E151" s="197">
        <f t="shared" si="5"/>
        <v>9</v>
      </c>
      <c r="F151" s="197">
        <f t="shared" si="5"/>
        <v>9.3999999999999986</v>
      </c>
      <c r="G151" s="197">
        <f t="shared" si="5"/>
        <v>9.7999999999999989</v>
      </c>
      <c r="H151" s="280"/>
    </row>
    <row r="152" spans="2:12">
      <c r="B152" s="400">
        <v>0.09</v>
      </c>
      <c r="C152" s="197">
        <f>C$148/($B152-$B$148)</f>
        <v>7.454545454545455</v>
      </c>
      <c r="D152" s="197">
        <f t="shared" si="5"/>
        <v>7.8181818181818192</v>
      </c>
      <c r="E152" s="197">
        <f t="shared" si="5"/>
        <v>8.1818181818181834</v>
      </c>
      <c r="F152" s="197">
        <f t="shared" si="5"/>
        <v>8.5454545454545467</v>
      </c>
      <c r="G152" s="197">
        <f t="shared" si="5"/>
        <v>8.9090909090909101</v>
      </c>
      <c r="H152" s="280"/>
    </row>
    <row r="153" spans="2:12">
      <c r="B153" s="401">
        <v>9.5000000000000001E-2</v>
      </c>
      <c r="C153" s="197">
        <f>C$148/($B153-$B$148)</f>
        <v>6.833333333333333</v>
      </c>
      <c r="D153" s="197">
        <f t="shared" si="5"/>
        <v>7.166666666666667</v>
      </c>
      <c r="E153" s="197">
        <f t="shared" si="5"/>
        <v>7.5000000000000009</v>
      </c>
      <c r="F153" s="197">
        <f t="shared" si="5"/>
        <v>7.833333333333333</v>
      </c>
      <c r="G153" s="197">
        <f t="shared" si="5"/>
        <v>8.1666666666666661</v>
      </c>
      <c r="H153" s="281"/>
    </row>
    <row r="154" spans="2:12">
      <c r="B154" s="275" t="s">
        <v>626</v>
      </c>
      <c r="C154" s="276"/>
      <c r="D154" s="277"/>
      <c r="E154" s="277"/>
      <c r="F154" s="278"/>
      <c r="G154" s="278"/>
      <c r="H154" s="280"/>
    </row>
    <row r="156" spans="2:12">
      <c r="E156" s="14"/>
    </row>
    <row r="168" spans="2:3">
      <c r="B168" s="11"/>
      <c r="C168" s="11"/>
    </row>
    <row r="190" spans="6:6">
      <c r="F190" s="14"/>
    </row>
    <row r="193" spans="2:5">
      <c r="B193" s="11"/>
      <c r="C193" s="18"/>
      <c r="D193" s="18"/>
      <c r="E193" s="18"/>
    </row>
    <row r="194" spans="2:5">
      <c r="B194" s="11"/>
      <c r="C194" s="17"/>
      <c r="D194" s="17"/>
      <c r="E194" s="18"/>
    </row>
    <row r="195" spans="2:5">
      <c r="B195" s="11"/>
      <c r="C195" s="17"/>
      <c r="D195" s="17"/>
      <c r="E195" s="17"/>
    </row>
    <row r="196" spans="2:5">
      <c r="B196" s="19"/>
      <c r="C196" s="18"/>
      <c r="D196" s="18"/>
      <c r="E196" s="18"/>
    </row>
    <row r="197" spans="2:5">
      <c r="B197" s="19"/>
      <c r="C197" s="18"/>
      <c r="D197" s="18"/>
      <c r="E197" s="18"/>
    </row>
    <row r="198" spans="2:5">
      <c r="B198" s="19"/>
      <c r="C198" s="18"/>
      <c r="D198" s="18"/>
      <c r="E198" s="18"/>
    </row>
    <row r="199" spans="2:5">
      <c r="B199" s="11"/>
      <c r="C199" s="18"/>
      <c r="D199" s="18"/>
      <c r="E199" s="18"/>
    </row>
    <row r="200" spans="2:5">
      <c r="B200" s="11"/>
      <c r="C200" s="18"/>
      <c r="D200" s="18"/>
      <c r="E200" s="18"/>
    </row>
    <row r="201" spans="2:5">
      <c r="B201" s="11"/>
      <c r="C201" s="18"/>
      <c r="D201" s="18"/>
      <c r="E201" s="18"/>
    </row>
    <row r="202" spans="2:5">
      <c r="B202" s="19"/>
      <c r="C202" s="17"/>
      <c r="D202" s="17"/>
      <c r="E202" s="18"/>
    </row>
    <row r="203" spans="2:5">
      <c r="B203" s="19"/>
      <c r="C203" s="17"/>
      <c r="D203" s="17"/>
      <c r="E203" s="18"/>
    </row>
    <row r="204" spans="2:5">
      <c r="B204" s="11"/>
      <c r="C204" s="17"/>
      <c r="D204" s="17"/>
      <c r="E204" s="17"/>
    </row>
    <row r="206" spans="2:5">
      <c r="B206" s="19"/>
      <c r="C206" s="17"/>
      <c r="D206" s="17"/>
      <c r="E206" s="18"/>
    </row>
    <row r="208" spans="2:5">
      <c r="E20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4B54-06B1-4807-AE3E-C16A380EA018}">
  <dimension ref="B1:F142"/>
  <sheetViews>
    <sheetView showGridLines="0" topLeftCell="A68" zoomScale="90" zoomScaleNormal="90" workbookViewId="0">
      <selection activeCell="F17" sqref="F17"/>
    </sheetView>
  </sheetViews>
  <sheetFormatPr defaultRowHeight="14.5"/>
  <cols>
    <col min="1" max="1" width="2" customWidth="1"/>
    <col min="2" max="2" width="4.81640625" customWidth="1"/>
    <col min="3" max="3" width="24.54296875" customWidth="1"/>
    <col min="4" max="4" width="27.26953125" customWidth="1"/>
    <col min="5" max="5" width="35.7265625" customWidth="1"/>
    <col min="6" max="6" width="89.26953125" customWidth="1"/>
  </cols>
  <sheetData>
    <row r="1" spans="2:6" ht="9.5" customHeight="1" thickBot="1"/>
    <row r="2" spans="2:6" ht="16" thickTop="1">
      <c r="C2" s="305" t="s">
        <v>535</v>
      </c>
      <c r="D2" s="305"/>
      <c r="E2" s="305"/>
      <c r="F2" s="305"/>
    </row>
    <row r="4" spans="2:6">
      <c r="B4" t="s">
        <v>536</v>
      </c>
      <c r="C4" s="23" t="s">
        <v>537</v>
      </c>
    </row>
    <row r="5" spans="2:6" ht="5" customHeight="1">
      <c r="C5" s="23"/>
    </row>
    <row r="6" spans="2:6" ht="39" customHeight="1" thickBot="1">
      <c r="C6" s="308" t="s">
        <v>391</v>
      </c>
      <c r="D6" s="308" t="s">
        <v>2</v>
      </c>
      <c r="E6" s="308" t="s">
        <v>392</v>
      </c>
      <c r="F6" s="308" t="s">
        <v>393</v>
      </c>
    </row>
    <row r="7" spans="2:6" ht="14.5" customHeight="1">
      <c r="C7" s="336" t="s">
        <v>390</v>
      </c>
      <c r="D7" s="337"/>
      <c r="E7" s="337"/>
      <c r="F7" s="337"/>
    </row>
    <row r="8" spans="2:6">
      <c r="C8" s="333" t="s">
        <v>515</v>
      </c>
      <c r="D8" s="334"/>
      <c r="E8" s="334"/>
      <c r="F8" s="335"/>
    </row>
    <row r="9" spans="2:6" ht="30" customHeight="1">
      <c r="C9" s="317" t="s">
        <v>515</v>
      </c>
      <c r="D9" s="327" t="s">
        <v>257</v>
      </c>
      <c r="E9" s="317" t="s">
        <v>359</v>
      </c>
      <c r="F9" s="317" t="s">
        <v>623</v>
      </c>
    </row>
    <row r="10" spans="2:6" ht="30" customHeight="1">
      <c r="C10" s="318" t="s">
        <v>515</v>
      </c>
      <c r="D10" s="328" t="s">
        <v>394</v>
      </c>
      <c r="E10" s="318" t="s">
        <v>674</v>
      </c>
      <c r="F10" s="318" t="s">
        <v>675</v>
      </c>
    </row>
    <row r="11" spans="2:6" ht="30" customHeight="1">
      <c r="C11" s="319" t="s">
        <v>515</v>
      </c>
      <c r="D11" s="329" t="s">
        <v>258</v>
      </c>
      <c r="E11" s="319" t="s">
        <v>677</v>
      </c>
      <c r="F11" s="319" t="s">
        <v>676</v>
      </c>
    </row>
    <row r="12" spans="2:6" ht="14.5" customHeight="1">
      <c r="C12" s="312" t="s">
        <v>259</v>
      </c>
      <c r="D12" s="330"/>
      <c r="E12" s="313"/>
      <c r="F12" s="314"/>
    </row>
    <row r="13" spans="2:6" ht="30" customHeight="1">
      <c r="C13" s="317" t="s">
        <v>259</v>
      </c>
      <c r="D13" s="327" t="s">
        <v>395</v>
      </c>
      <c r="E13" s="317" t="s">
        <v>362</v>
      </c>
      <c r="F13" s="317" t="s">
        <v>302</v>
      </c>
    </row>
    <row r="14" spans="2:6" ht="30" customHeight="1">
      <c r="C14" s="318" t="s">
        <v>259</v>
      </c>
      <c r="D14" s="328" t="s">
        <v>396</v>
      </c>
      <c r="E14" s="318" t="s">
        <v>363</v>
      </c>
      <c r="F14" s="318" t="s">
        <v>303</v>
      </c>
    </row>
    <row r="15" spans="2:6" ht="30" customHeight="1">
      <c r="C15" s="318" t="s">
        <v>259</v>
      </c>
      <c r="D15" s="328" t="s">
        <v>397</v>
      </c>
      <c r="E15" s="318" t="s">
        <v>678</v>
      </c>
      <c r="F15" s="318" t="s">
        <v>679</v>
      </c>
    </row>
    <row r="16" spans="2:6" ht="30" customHeight="1">
      <c r="C16" s="319" t="s">
        <v>259</v>
      </c>
      <c r="D16" s="329" t="s">
        <v>3</v>
      </c>
      <c r="E16" s="319" t="s">
        <v>365</v>
      </c>
      <c r="F16" s="319" t="s">
        <v>680</v>
      </c>
    </row>
    <row r="17" spans="3:6" ht="14.5" customHeight="1">
      <c r="C17" s="312" t="s">
        <v>260</v>
      </c>
      <c r="D17" s="330"/>
      <c r="E17" s="313"/>
      <c r="F17" s="314"/>
    </row>
    <row r="18" spans="3:6" ht="30" customHeight="1">
      <c r="C18" s="317" t="s">
        <v>260</v>
      </c>
      <c r="D18" s="327" t="s">
        <v>26</v>
      </c>
      <c r="E18" s="317" t="s">
        <v>434</v>
      </c>
      <c r="F18" s="317" t="s">
        <v>314</v>
      </c>
    </row>
    <row r="19" spans="3:6" ht="30" customHeight="1">
      <c r="C19" s="318" t="s">
        <v>260</v>
      </c>
      <c r="D19" s="328" t="s">
        <v>346</v>
      </c>
      <c r="E19" s="318" t="s">
        <v>435</v>
      </c>
      <c r="F19" s="318" t="s">
        <v>261</v>
      </c>
    </row>
    <row r="20" spans="3:6" ht="30" customHeight="1">
      <c r="C20" s="318" t="s">
        <v>260</v>
      </c>
      <c r="D20" s="328" t="s">
        <v>457</v>
      </c>
      <c r="E20" s="318" t="s">
        <v>436</v>
      </c>
      <c r="F20" s="318" t="s">
        <v>345</v>
      </c>
    </row>
    <row r="21" spans="3:6" ht="30" customHeight="1">
      <c r="C21" s="318" t="s">
        <v>260</v>
      </c>
      <c r="D21" s="328" t="s">
        <v>107</v>
      </c>
      <c r="E21" s="318" t="s">
        <v>437</v>
      </c>
      <c r="F21" s="318" t="s">
        <v>458</v>
      </c>
    </row>
    <row r="22" spans="3:6" ht="30" customHeight="1">
      <c r="C22" s="319" t="s">
        <v>260</v>
      </c>
      <c r="D22" s="329" t="s">
        <v>262</v>
      </c>
      <c r="E22" s="319" t="s">
        <v>438</v>
      </c>
      <c r="F22" s="319" t="s">
        <v>285</v>
      </c>
    </row>
    <row r="23" spans="3:6" ht="14.5" customHeight="1">
      <c r="C23" s="312" t="s">
        <v>517</v>
      </c>
      <c r="D23" s="330"/>
      <c r="E23" s="313"/>
      <c r="F23" s="314"/>
    </row>
    <row r="24" spans="3:6" ht="30" customHeight="1">
      <c r="C24" s="317" t="s">
        <v>123</v>
      </c>
      <c r="D24" s="327" t="s">
        <v>73</v>
      </c>
      <c r="E24" s="317" t="s">
        <v>379</v>
      </c>
      <c r="F24" s="317" t="s">
        <v>309</v>
      </c>
    </row>
    <row r="25" spans="3:6" ht="30" customHeight="1">
      <c r="C25" s="318" t="s">
        <v>269</v>
      </c>
      <c r="D25" s="328" t="s">
        <v>72</v>
      </c>
      <c r="E25" s="318" t="s">
        <v>375</v>
      </c>
      <c r="F25" s="318" t="s">
        <v>463</v>
      </c>
    </row>
    <row r="26" spans="3:6" ht="30" customHeight="1">
      <c r="C26" s="318" t="s">
        <v>269</v>
      </c>
      <c r="D26" s="328" t="s">
        <v>408</v>
      </c>
      <c r="E26" s="318" t="s">
        <v>376</v>
      </c>
      <c r="F26" s="318" t="s">
        <v>307</v>
      </c>
    </row>
    <row r="27" spans="3:6" ht="30" customHeight="1">
      <c r="C27" s="318" t="s">
        <v>269</v>
      </c>
      <c r="D27" s="328" t="s">
        <v>65</v>
      </c>
      <c r="E27" s="318" t="s">
        <v>443</v>
      </c>
      <c r="F27" s="318" t="s">
        <v>270</v>
      </c>
    </row>
    <row r="28" spans="3:6" ht="30" customHeight="1">
      <c r="C28" s="318" t="s">
        <v>269</v>
      </c>
      <c r="D28" s="328" t="s">
        <v>66</v>
      </c>
      <c r="E28" s="318" t="s">
        <v>377</v>
      </c>
      <c r="F28" s="318" t="s">
        <v>464</v>
      </c>
    </row>
    <row r="29" spans="3:6" ht="30" customHeight="1">
      <c r="C29" s="318" t="s">
        <v>269</v>
      </c>
      <c r="D29" s="328" t="s">
        <v>409</v>
      </c>
      <c r="E29" s="318" t="s">
        <v>378</v>
      </c>
      <c r="F29" s="318" t="s">
        <v>308</v>
      </c>
    </row>
    <row r="30" spans="3:6" ht="30" customHeight="1">
      <c r="C30" s="318" t="s">
        <v>269</v>
      </c>
      <c r="D30" s="328" t="s">
        <v>410</v>
      </c>
      <c r="E30" s="318" t="s">
        <v>444</v>
      </c>
      <c r="F30" s="318" t="s">
        <v>465</v>
      </c>
    </row>
    <row r="31" spans="3:6" ht="30" customHeight="1">
      <c r="C31" s="318" t="s">
        <v>269</v>
      </c>
      <c r="D31" s="328" t="s">
        <v>69</v>
      </c>
      <c r="E31" s="318" t="s">
        <v>445</v>
      </c>
      <c r="F31" s="318" t="s">
        <v>271</v>
      </c>
    </row>
    <row r="32" spans="3:6" ht="30" customHeight="1">
      <c r="C32" s="318" t="s">
        <v>269</v>
      </c>
      <c r="D32" s="328" t="s">
        <v>411</v>
      </c>
      <c r="E32" s="318" t="s">
        <v>446</v>
      </c>
      <c r="F32" s="318" t="s">
        <v>272</v>
      </c>
    </row>
    <row r="33" spans="3:6" ht="30" customHeight="1">
      <c r="C33" s="318" t="s">
        <v>269</v>
      </c>
      <c r="D33" s="328" t="s">
        <v>62</v>
      </c>
      <c r="E33" s="318" t="s">
        <v>447</v>
      </c>
      <c r="F33" s="318" t="s">
        <v>273</v>
      </c>
    </row>
    <row r="34" spans="3:6" ht="30" customHeight="1">
      <c r="C34" s="318" t="s">
        <v>269</v>
      </c>
      <c r="D34" s="328" t="s">
        <v>412</v>
      </c>
      <c r="E34" s="318" t="s">
        <v>448</v>
      </c>
      <c r="F34" s="318" t="s">
        <v>274</v>
      </c>
    </row>
    <row r="35" spans="3:6" ht="30" customHeight="1">
      <c r="C35" s="318" t="s">
        <v>276</v>
      </c>
      <c r="D35" s="328" t="s">
        <v>416</v>
      </c>
      <c r="E35" s="318" t="s">
        <v>381</v>
      </c>
      <c r="F35" s="318" t="s">
        <v>311</v>
      </c>
    </row>
    <row r="36" spans="3:6" ht="30" customHeight="1">
      <c r="C36" s="319" t="s">
        <v>276</v>
      </c>
      <c r="D36" s="329" t="s">
        <v>417</v>
      </c>
      <c r="E36" s="319" t="s">
        <v>452</v>
      </c>
      <c r="F36" s="319" t="s">
        <v>280</v>
      </c>
    </row>
    <row r="37" spans="3:6" ht="14.5" customHeight="1">
      <c r="C37" s="312" t="s">
        <v>538</v>
      </c>
      <c r="D37" s="330"/>
      <c r="E37" s="313"/>
      <c r="F37" s="314"/>
    </row>
    <row r="38" spans="3:6" ht="30" customHeight="1">
      <c r="C38" s="317" t="s">
        <v>539</v>
      </c>
      <c r="D38" s="327" t="s">
        <v>398</v>
      </c>
      <c r="E38" s="317" t="s">
        <v>366</v>
      </c>
      <c r="F38" s="317" t="s">
        <v>317</v>
      </c>
    </row>
    <row r="39" spans="3:6" ht="30" customHeight="1">
      <c r="C39" s="320" t="s">
        <v>539</v>
      </c>
      <c r="D39" s="331" t="s">
        <v>399</v>
      </c>
      <c r="E39" s="320" t="s">
        <v>439</v>
      </c>
      <c r="F39" s="320" t="s">
        <v>263</v>
      </c>
    </row>
    <row r="40" spans="3:6" ht="30" customHeight="1">
      <c r="C40" s="318" t="s">
        <v>539</v>
      </c>
      <c r="D40" s="328" t="s">
        <v>400</v>
      </c>
      <c r="E40" s="318" t="s">
        <v>367</v>
      </c>
      <c r="F40" s="318" t="s">
        <v>310</v>
      </c>
    </row>
    <row r="41" spans="3:6" ht="30" customHeight="1">
      <c r="C41" s="320" t="s">
        <v>539</v>
      </c>
      <c r="D41" s="331" t="s">
        <v>401</v>
      </c>
      <c r="E41" s="320" t="s">
        <v>440</v>
      </c>
      <c r="F41" s="320" t="s">
        <v>264</v>
      </c>
    </row>
    <row r="42" spans="3:6" ht="30" customHeight="1">
      <c r="C42" s="318" t="s">
        <v>87</v>
      </c>
      <c r="D42" s="328" t="s">
        <v>402</v>
      </c>
      <c r="E42" s="318" t="s">
        <v>368</v>
      </c>
      <c r="F42" s="318" t="s">
        <v>305</v>
      </c>
    </row>
    <row r="43" spans="3:6" ht="30" customHeight="1">
      <c r="C43" s="320" t="s">
        <v>87</v>
      </c>
      <c r="D43" s="331" t="s">
        <v>403</v>
      </c>
      <c r="E43" s="320" t="s">
        <v>369</v>
      </c>
      <c r="F43" s="320" t="s">
        <v>304</v>
      </c>
    </row>
    <row r="44" spans="3:6" ht="30" customHeight="1">
      <c r="C44" s="318" t="s">
        <v>87</v>
      </c>
      <c r="D44" s="328" t="s">
        <v>404</v>
      </c>
      <c r="E44" s="318" t="s">
        <v>370</v>
      </c>
      <c r="F44" s="318" t="s">
        <v>266</v>
      </c>
    </row>
    <row r="45" spans="3:6" ht="30" customHeight="1">
      <c r="C45" s="320" t="s">
        <v>466</v>
      </c>
      <c r="D45" s="331" t="s">
        <v>413</v>
      </c>
      <c r="E45" s="320" t="s">
        <v>450</v>
      </c>
      <c r="F45" s="320" t="s">
        <v>275</v>
      </c>
    </row>
    <row r="46" spans="3:6" ht="30" customHeight="1">
      <c r="C46" s="318" t="s">
        <v>466</v>
      </c>
      <c r="D46" s="328" t="s">
        <v>414</v>
      </c>
      <c r="E46" s="318" t="s">
        <v>380</v>
      </c>
      <c r="F46" s="318" t="s">
        <v>312</v>
      </c>
    </row>
    <row r="47" spans="3:6" ht="30" customHeight="1">
      <c r="C47" s="320" t="s">
        <v>466</v>
      </c>
      <c r="D47" s="331" t="s">
        <v>415</v>
      </c>
      <c r="E47" s="320" t="s">
        <v>451</v>
      </c>
      <c r="F47" s="320" t="s">
        <v>313</v>
      </c>
    </row>
    <row r="48" spans="3:6" ht="30" customHeight="1">
      <c r="C48" s="318" t="s">
        <v>63</v>
      </c>
      <c r="D48" s="328" t="s">
        <v>63</v>
      </c>
      <c r="E48" s="318" t="s">
        <v>441</v>
      </c>
      <c r="F48" s="318" t="s">
        <v>459</v>
      </c>
    </row>
    <row r="49" spans="3:6" ht="30" customHeight="1">
      <c r="C49" s="320" t="s">
        <v>32</v>
      </c>
      <c r="D49" s="331" t="s">
        <v>405</v>
      </c>
      <c r="E49" s="320" t="s">
        <v>371</v>
      </c>
      <c r="F49" s="320" t="s">
        <v>306</v>
      </c>
    </row>
    <row r="50" spans="3:6" ht="30" customHeight="1">
      <c r="C50" s="318" t="s">
        <v>32</v>
      </c>
      <c r="D50" s="328" t="s">
        <v>406</v>
      </c>
      <c r="E50" s="318" t="s">
        <v>442</v>
      </c>
      <c r="F50" s="318" t="s">
        <v>268</v>
      </c>
    </row>
    <row r="51" spans="3:6" ht="30" customHeight="1">
      <c r="C51" s="320" t="s">
        <v>32</v>
      </c>
      <c r="D51" s="331" t="s">
        <v>407</v>
      </c>
      <c r="E51" s="320" t="s">
        <v>372</v>
      </c>
      <c r="F51" s="320" t="s">
        <v>460</v>
      </c>
    </row>
    <row r="52" spans="3:6" ht="30" customHeight="1">
      <c r="C52" s="318" t="s">
        <v>32</v>
      </c>
      <c r="D52" s="328" t="s">
        <v>461</v>
      </c>
      <c r="E52" s="318" t="s">
        <v>373</v>
      </c>
      <c r="F52" s="318" t="s">
        <v>331</v>
      </c>
    </row>
    <row r="53" spans="3:6" ht="30" customHeight="1">
      <c r="C53" s="320" t="s">
        <v>32</v>
      </c>
      <c r="D53" s="331" t="s">
        <v>462</v>
      </c>
      <c r="E53" s="320" t="s">
        <v>374</v>
      </c>
      <c r="F53" s="320" t="s">
        <v>332</v>
      </c>
    </row>
    <row r="54" spans="3:6" ht="15" customHeight="1">
      <c r="C54" s="312" t="s">
        <v>518</v>
      </c>
      <c r="D54" s="330"/>
      <c r="E54" s="313"/>
      <c r="F54" s="314"/>
    </row>
    <row r="55" spans="3:6" ht="30" customHeight="1">
      <c r="C55" s="320" t="s">
        <v>35</v>
      </c>
      <c r="D55" s="331" t="s">
        <v>35</v>
      </c>
      <c r="E55" s="320" t="s">
        <v>449</v>
      </c>
      <c r="F55" s="320" t="s">
        <v>277</v>
      </c>
    </row>
    <row r="56" spans="3:6" ht="30" customHeight="1">
      <c r="C56" s="318" t="s">
        <v>418</v>
      </c>
      <c r="D56" s="328" t="s">
        <v>418</v>
      </c>
      <c r="E56" s="318" t="s">
        <v>453</v>
      </c>
      <c r="F56" s="318" t="s">
        <v>277</v>
      </c>
    </row>
    <row r="57" spans="3:6" ht="30" customHeight="1">
      <c r="C57" s="320" t="s">
        <v>419</v>
      </c>
      <c r="D57" s="331" t="s">
        <v>419</v>
      </c>
      <c r="E57" s="320" t="s">
        <v>454</v>
      </c>
      <c r="F57" s="320" t="s">
        <v>278</v>
      </c>
    </row>
    <row r="58" spans="3:6" ht="30" customHeight="1">
      <c r="C58" s="318" t="s">
        <v>420</v>
      </c>
      <c r="D58" s="328" t="s">
        <v>420</v>
      </c>
      <c r="E58" s="318" t="s">
        <v>382</v>
      </c>
      <c r="F58" s="318" t="s">
        <v>281</v>
      </c>
    </row>
    <row r="59" spans="3:6" ht="30" customHeight="1">
      <c r="C59" s="320" t="s">
        <v>421</v>
      </c>
      <c r="D59" s="331" t="s">
        <v>421</v>
      </c>
      <c r="E59" s="320" t="s">
        <v>455</v>
      </c>
      <c r="F59" s="320" t="s">
        <v>282</v>
      </c>
    </row>
    <row r="60" spans="3:6" ht="30" customHeight="1">
      <c r="C60" s="318" t="s">
        <v>53</v>
      </c>
      <c r="D60" s="328" t="s">
        <v>57</v>
      </c>
      <c r="E60" s="318" t="s">
        <v>383</v>
      </c>
      <c r="F60" s="318" t="s">
        <v>283</v>
      </c>
    </row>
    <row r="61" spans="3:6" ht="30" customHeight="1">
      <c r="C61" s="320" t="s">
        <v>53</v>
      </c>
      <c r="D61" s="331" t="s">
        <v>422</v>
      </c>
      <c r="E61" s="320" t="s">
        <v>456</v>
      </c>
      <c r="F61" s="320" t="s">
        <v>284</v>
      </c>
    </row>
    <row r="62" spans="3:6" ht="15" customHeight="1">
      <c r="C62" s="312" t="s">
        <v>286</v>
      </c>
      <c r="D62" s="330"/>
      <c r="E62" s="313"/>
      <c r="F62" s="314"/>
    </row>
    <row r="63" spans="3:6" ht="30" customHeight="1">
      <c r="C63" s="320" t="s">
        <v>111</v>
      </c>
      <c r="D63" s="331" t="s">
        <v>423</v>
      </c>
      <c r="E63" s="320" t="s">
        <v>384</v>
      </c>
      <c r="F63" s="320" t="s">
        <v>467</v>
      </c>
    </row>
    <row r="64" spans="3:6" ht="30" customHeight="1">
      <c r="C64" s="318" t="s">
        <v>111</v>
      </c>
      <c r="D64" s="328" t="s">
        <v>288</v>
      </c>
      <c r="E64" s="318" t="s">
        <v>385</v>
      </c>
      <c r="F64" s="318" t="s">
        <v>315</v>
      </c>
    </row>
    <row r="65" spans="2:6" ht="30" customHeight="1">
      <c r="C65" s="320" t="s">
        <v>111</v>
      </c>
      <c r="D65" s="331" t="s">
        <v>289</v>
      </c>
      <c r="E65" s="320" t="s">
        <v>386</v>
      </c>
      <c r="F65" s="319" t="s">
        <v>292</v>
      </c>
    </row>
    <row r="66" spans="2:6" ht="15" customHeight="1">
      <c r="C66" s="309" t="s">
        <v>540</v>
      </c>
      <c r="D66" s="332"/>
      <c r="E66" s="310"/>
      <c r="F66" s="311"/>
    </row>
    <row r="67" spans="2:6" ht="30" customHeight="1">
      <c r="C67" s="317" t="s">
        <v>424</v>
      </c>
      <c r="D67" s="327" t="s">
        <v>424</v>
      </c>
      <c r="E67" s="317" t="s">
        <v>387</v>
      </c>
      <c r="F67" s="317" t="s">
        <v>354</v>
      </c>
    </row>
    <row r="68" spans="2:6" ht="30" customHeight="1">
      <c r="C68" s="318" t="s">
        <v>425</v>
      </c>
      <c r="D68" s="328" t="s">
        <v>425</v>
      </c>
      <c r="E68" s="318" t="s">
        <v>432</v>
      </c>
      <c r="F68" s="318" t="s">
        <v>572</v>
      </c>
    </row>
    <row r="69" spans="2:6" ht="30" customHeight="1">
      <c r="C69" s="318" t="s">
        <v>299</v>
      </c>
      <c r="D69" s="328" t="s">
        <v>299</v>
      </c>
      <c r="E69" s="318" t="s">
        <v>388</v>
      </c>
      <c r="F69" s="318" t="s">
        <v>316</v>
      </c>
    </row>
    <row r="70" spans="2:6" ht="30" customHeight="1">
      <c r="C70" s="318" t="s">
        <v>426</v>
      </c>
      <c r="D70" s="328" t="s">
        <v>426</v>
      </c>
      <c r="E70" s="318" t="s">
        <v>389</v>
      </c>
      <c r="F70" s="318" t="s">
        <v>301</v>
      </c>
    </row>
    <row r="71" spans="2:6" ht="30" customHeight="1">
      <c r="C71" s="320" t="s">
        <v>333</v>
      </c>
      <c r="D71" s="331" t="s">
        <v>333</v>
      </c>
      <c r="E71" s="320" t="s">
        <v>433</v>
      </c>
      <c r="F71" s="320" t="s">
        <v>334</v>
      </c>
    </row>
    <row r="72" spans="2:6" ht="15" customHeight="1">
      <c r="C72" s="315" t="s">
        <v>427</v>
      </c>
      <c r="D72" s="315"/>
      <c r="E72" s="315"/>
      <c r="F72" s="316"/>
    </row>
    <row r="73" spans="2:6" ht="22" customHeight="1" thickBot="1">
      <c r="C73" s="307" t="s">
        <v>428</v>
      </c>
      <c r="D73" s="306" t="s">
        <v>429</v>
      </c>
      <c r="E73" s="104"/>
      <c r="F73" s="104"/>
    </row>
    <row r="74" spans="2:6" ht="30" customHeight="1">
      <c r="C74" s="325" t="s">
        <v>468</v>
      </c>
      <c r="D74" s="321" t="s">
        <v>298</v>
      </c>
      <c r="E74" s="322"/>
      <c r="F74" s="322"/>
    </row>
    <row r="75" spans="2:6" ht="30" customHeight="1">
      <c r="C75" s="326" t="s">
        <v>430</v>
      </c>
      <c r="D75" s="323" t="s">
        <v>544</v>
      </c>
      <c r="E75" s="324"/>
      <c r="F75" s="324"/>
    </row>
    <row r="76" spans="2:6" ht="30" customHeight="1">
      <c r="C76" s="326" t="s">
        <v>431</v>
      </c>
      <c r="D76" s="323" t="s">
        <v>469</v>
      </c>
      <c r="E76" s="324"/>
      <c r="F76" s="324"/>
    </row>
    <row r="77" spans="2:6" ht="15.5" customHeight="1"/>
    <row r="78" spans="2:6" ht="14.5" customHeight="1">
      <c r="B78" t="str">
        <f>Assumptions!Q34</f>
        <v>[2]</v>
      </c>
      <c r="C78" s="24" t="s">
        <v>542</v>
      </c>
    </row>
    <row r="79" spans="2:6" ht="71.5" customHeight="1">
      <c r="C79" s="338" t="s">
        <v>519</v>
      </c>
      <c r="D79" s="339"/>
      <c r="E79" s="340"/>
      <c r="F79" s="341"/>
    </row>
    <row r="80" spans="2:6" ht="15" customHeight="1"/>
    <row r="81" spans="2:6" ht="14.5" customHeight="1">
      <c r="B81" t="str">
        <f>'3- Statement Model'!J12</f>
        <v>[3]</v>
      </c>
      <c r="C81" s="25" t="s">
        <v>14</v>
      </c>
    </row>
    <row r="82" spans="2:6" ht="30" customHeight="1">
      <c r="C82" s="342" t="s">
        <v>628</v>
      </c>
      <c r="D82" s="208"/>
      <c r="E82" s="208"/>
      <c r="F82" s="343"/>
    </row>
    <row r="83" spans="2:6" ht="15.5" customHeight="1"/>
    <row r="84" spans="2:6" ht="14.5" customHeight="1">
      <c r="B84" t="str">
        <f>'3- Statement Model'!J46</f>
        <v>[4]</v>
      </c>
      <c r="C84" s="26" t="s">
        <v>34</v>
      </c>
    </row>
    <row r="85" spans="2:6" ht="29.5" customHeight="1">
      <c r="C85" s="344" t="s">
        <v>543</v>
      </c>
      <c r="D85" s="124"/>
      <c r="E85" s="124"/>
      <c r="F85" s="345"/>
    </row>
    <row r="87" spans="2:6" ht="14.5" customHeight="1">
      <c r="B87" t="str">
        <f>'3- Statement Model'!J54</f>
        <v>[5]</v>
      </c>
      <c r="C87" s="26" t="s">
        <v>545</v>
      </c>
    </row>
    <row r="88" spans="2:6" ht="29.5" customHeight="1">
      <c r="C88" s="344" t="s">
        <v>543</v>
      </c>
      <c r="D88" s="208"/>
      <c r="E88" s="208"/>
      <c r="F88" s="343"/>
    </row>
    <row r="90" spans="2:6" ht="14.5" customHeight="1">
      <c r="B90" t="str">
        <f>'3- Statement Model'!J140</f>
        <v>[6]</v>
      </c>
      <c r="C90" s="27" t="s">
        <v>137</v>
      </c>
    </row>
    <row r="91" spans="2:6" ht="30" customHeight="1">
      <c r="C91" s="344" t="s">
        <v>546</v>
      </c>
      <c r="D91" s="208"/>
      <c r="E91" s="208"/>
      <c r="F91" s="343"/>
    </row>
    <row r="92" spans="2:6" ht="15.5" customHeight="1"/>
    <row r="93" spans="2:6" ht="14.5" customHeight="1">
      <c r="B93" t="str">
        <f>'3- Statement Model'!J153</f>
        <v>[7]</v>
      </c>
      <c r="C93" s="25" t="s">
        <v>547</v>
      </c>
    </row>
    <row r="94" spans="2:6" ht="30" customHeight="1">
      <c r="C94" s="346" t="s">
        <v>548</v>
      </c>
      <c r="D94" s="347"/>
      <c r="E94" s="347"/>
      <c r="F94" s="348"/>
    </row>
    <row r="96" spans="2:6" ht="14.5" customHeight="1">
      <c r="B96" t="str">
        <f>'3- Statement Model'!J237</f>
        <v>[8]</v>
      </c>
      <c r="C96" s="27" t="s">
        <v>347</v>
      </c>
    </row>
    <row r="97" spans="2:6" ht="29.5" customHeight="1">
      <c r="C97" s="344" t="s">
        <v>549</v>
      </c>
      <c r="D97" s="124"/>
      <c r="E97" s="124"/>
      <c r="F97" s="345"/>
    </row>
    <row r="99" spans="2:6" ht="14.5" customHeight="1">
      <c r="B99" t="str">
        <f>'3- Statement Model'!J240</f>
        <v>[9]</v>
      </c>
      <c r="C99" s="25" t="s">
        <v>552</v>
      </c>
    </row>
    <row r="100" spans="2:6">
      <c r="C100" s="349" t="s">
        <v>550</v>
      </c>
      <c r="D100" s="350"/>
      <c r="E100" s="350"/>
      <c r="F100" s="351"/>
    </row>
    <row r="101" spans="2:6">
      <c r="C101" s="352" t="s">
        <v>551</v>
      </c>
      <c r="D101" s="98"/>
      <c r="E101" s="98"/>
      <c r="F101" s="353"/>
    </row>
    <row r="103" spans="2:6" ht="14.5" customHeight="1">
      <c r="B103" t="str">
        <f>'3- Statement Model'!J241</f>
        <v>[10]</v>
      </c>
      <c r="C103" s="26" t="s">
        <v>555</v>
      </c>
    </row>
    <row r="104" spans="2:6" ht="61" customHeight="1">
      <c r="C104" s="354" t="s">
        <v>553</v>
      </c>
      <c r="D104" s="355"/>
      <c r="E104" s="355"/>
      <c r="F104" s="356"/>
    </row>
    <row r="105" spans="2:6">
      <c r="C105" s="357"/>
      <c r="F105" s="358"/>
    </row>
    <row r="106" spans="2:6">
      <c r="C106" s="357" t="s">
        <v>556</v>
      </c>
      <c r="F106" s="358"/>
    </row>
    <row r="107" spans="2:6" ht="3.5" customHeight="1">
      <c r="C107" s="357"/>
      <c r="F107" s="358"/>
    </row>
    <row r="108" spans="2:6" ht="29">
      <c r="C108" s="359" t="s">
        <v>557</v>
      </c>
      <c r="D108" s="360"/>
      <c r="E108" s="360"/>
      <c r="F108" s="361"/>
    </row>
    <row r="109" spans="2:6">
      <c r="C109" s="357" t="s">
        <v>558</v>
      </c>
      <c r="F109" s="358"/>
    </row>
    <row r="110" spans="2:6">
      <c r="C110" s="357"/>
      <c r="F110" s="358"/>
    </row>
    <row r="111" spans="2:6">
      <c r="C111" s="93" t="s">
        <v>554</v>
      </c>
      <c r="D111" s="94"/>
      <c r="E111" s="94"/>
      <c r="F111" s="95"/>
    </row>
    <row r="113" spans="2:6" ht="14.5" customHeight="1">
      <c r="B113" t="str">
        <f>'3- Statement Model'!J244</f>
        <v>[11]</v>
      </c>
      <c r="C113" s="26" t="s">
        <v>559</v>
      </c>
    </row>
    <row r="114" spans="2:6" ht="29.5" customHeight="1">
      <c r="C114" s="344" t="s">
        <v>560</v>
      </c>
      <c r="D114" s="208"/>
      <c r="E114" s="208"/>
      <c r="F114" s="343"/>
    </row>
    <row r="116" spans="2:6" ht="14.5" customHeight="1">
      <c r="B116" t="str">
        <f>'LBO Model'!D41</f>
        <v>[12]</v>
      </c>
      <c r="C116" s="25" t="s">
        <v>561</v>
      </c>
    </row>
    <row r="117" spans="2:6" ht="29.5" customHeight="1">
      <c r="C117" s="344" t="s">
        <v>562</v>
      </c>
      <c r="D117" s="124"/>
      <c r="E117" s="124"/>
      <c r="F117" s="345"/>
    </row>
    <row r="119" spans="2:6" ht="14.5" customHeight="1">
      <c r="B119" t="str">
        <f>'Returns Analysis - LBO'!D11</f>
        <v>[13]</v>
      </c>
      <c r="C119" s="25" t="s">
        <v>251</v>
      </c>
    </row>
    <row r="120" spans="2:6" ht="29.5" customHeight="1">
      <c r="C120" s="344" t="s">
        <v>253</v>
      </c>
      <c r="D120" s="124"/>
      <c r="E120" s="124"/>
      <c r="F120" s="345"/>
    </row>
    <row r="121" spans="2:6">
      <c r="C121" s="25"/>
    </row>
    <row r="122" spans="2:6" ht="14.5" customHeight="1">
      <c r="B122" t="str">
        <f>'Returns Analysis - LBO'!D12</f>
        <v>[14]</v>
      </c>
      <c r="C122" s="25" t="s">
        <v>252</v>
      </c>
    </row>
    <row r="123" spans="2:6" ht="39.5" customHeight="1">
      <c r="C123" s="362" t="s">
        <v>563</v>
      </c>
      <c r="D123" s="340"/>
      <c r="E123" s="340"/>
      <c r="F123" s="341"/>
    </row>
    <row r="125" spans="2:6" ht="14.5" customHeight="1">
      <c r="B125" t="str">
        <f>'Returns Analysis - LBO'!D13</f>
        <v>[15]</v>
      </c>
      <c r="C125" s="25" t="s">
        <v>564</v>
      </c>
    </row>
    <row r="126" spans="2:6" ht="21" customHeight="1">
      <c r="C126" s="344" t="s">
        <v>565</v>
      </c>
      <c r="D126" s="124"/>
      <c r="E126" s="124"/>
      <c r="F126" s="345"/>
    </row>
    <row r="128" spans="2:6" ht="14.5" customHeight="1">
      <c r="B128" t="str">
        <f>'Returns Analysis - LBO'!D15</f>
        <v>[16]</v>
      </c>
      <c r="C128" s="25" t="s">
        <v>505</v>
      </c>
    </row>
    <row r="129" spans="2:6" ht="29">
      <c r="C129" s="346" t="s">
        <v>566</v>
      </c>
      <c r="D129" s="347"/>
      <c r="E129" s="347"/>
      <c r="F129" s="348"/>
    </row>
    <row r="131" spans="2:6" ht="14.5" customHeight="1">
      <c r="B131" t="str">
        <f>'Returns Analysis - LBO'!F60</f>
        <v>[17]</v>
      </c>
      <c r="C131" s="25" t="s">
        <v>488</v>
      </c>
    </row>
    <row r="132" spans="2:6" ht="29" customHeight="1">
      <c r="C132" s="344" t="s">
        <v>567</v>
      </c>
      <c r="D132" s="208"/>
      <c r="E132" s="208"/>
      <c r="F132" s="343"/>
    </row>
    <row r="134" spans="2:6" ht="14.5" customHeight="1">
      <c r="B134" t="str">
        <f>'Returns Analysis - LBO'!G85</f>
        <v>[18]</v>
      </c>
      <c r="C134" s="25" t="s">
        <v>569</v>
      </c>
    </row>
    <row r="135" spans="2:6">
      <c r="C135" s="90" t="s">
        <v>219</v>
      </c>
      <c r="D135" s="91"/>
      <c r="E135" s="91"/>
      <c r="F135" s="92"/>
    </row>
    <row r="136" spans="2:6">
      <c r="C136" s="357" t="s">
        <v>570</v>
      </c>
      <c r="F136" s="358"/>
    </row>
    <row r="137" spans="2:6">
      <c r="C137" s="357"/>
      <c r="F137" s="358"/>
    </row>
    <row r="138" spans="2:6">
      <c r="C138" s="357" t="s">
        <v>571</v>
      </c>
      <c r="F138" s="358"/>
    </row>
    <row r="139" spans="2:6" ht="61.5" customHeight="1">
      <c r="C139" s="363" t="s">
        <v>572</v>
      </c>
      <c r="D139" s="364"/>
      <c r="E139" s="364"/>
      <c r="F139" s="365"/>
    </row>
    <row r="140" spans="2:6">
      <c r="C140" s="1"/>
      <c r="D140" s="1"/>
      <c r="E140" s="1"/>
      <c r="F140" s="1"/>
    </row>
    <row r="141" spans="2:6" ht="14.5" customHeight="1">
      <c r="B141" t="str">
        <f>'Returns Analysis - LBO'!I127</f>
        <v>[19]</v>
      </c>
      <c r="C141" s="25" t="s">
        <v>513</v>
      </c>
    </row>
    <row r="142" spans="2:6" ht="44" customHeight="1">
      <c r="C142" s="338" t="s">
        <v>574</v>
      </c>
      <c r="D142" s="366"/>
      <c r="E142" s="366"/>
      <c r="F142" s="36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F29B-45E5-4CDF-99D4-D6435ECCCA99}">
  <dimension ref="B1:L46"/>
  <sheetViews>
    <sheetView showGridLines="0" topLeftCell="A34" workbookViewId="0">
      <selection activeCell="E53" sqref="E53"/>
    </sheetView>
  </sheetViews>
  <sheetFormatPr defaultRowHeight="14.5"/>
  <cols>
    <col min="1" max="1" width="2.6328125" customWidth="1"/>
    <col min="2" max="2" width="13.90625" customWidth="1"/>
    <col min="3" max="3" width="12.81640625" customWidth="1"/>
    <col min="4" max="4" width="16.54296875" bestFit="1" customWidth="1"/>
    <col min="5" max="5" width="16.453125" customWidth="1"/>
    <col min="6" max="6" width="15" customWidth="1"/>
    <col min="7" max="7" width="11.7265625" customWidth="1"/>
    <col min="8" max="11" width="10.36328125" bestFit="1" customWidth="1"/>
    <col min="12" max="12" width="11.54296875" customWidth="1"/>
  </cols>
  <sheetData>
    <row r="1" spans="2:12" ht="15" thickBot="1"/>
    <row r="2" spans="2:12" ht="18" customHeight="1" thickTop="1">
      <c r="B2" s="305" t="s">
        <v>671</v>
      </c>
      <c r="C2" s="305"/>
    </row>
    <row r="3" spans="2:12" ht="15" thickBot="1">
      <c r="B3" s="188" t="s">
        <v>669</v>
      </c>
      <c r="C3" s="188" t="s">
        <v>6</v>
      </c>
      <c r="D3" s="1"/>
      <c r="E3" s="1"/>
    </row>
    <row r="4" spans="2:12">
      <c r="B4" s="11" t="s">
        <v>650</v>
      </c>
      <c r="C4" s="418">
        <v>1821532</v>
      </c>
      <c r="D4" s="1"/>
      <c r="E4" s="1"/>
    </row>
    <row r="5" spans="2:12">
      <c r="B5" s="11" t="s">
        <v>651</v>
      </c>
      <c r="C5" s="418">
        <v>225978</v>
      </c>
      <c r="D5" s="1"/>
      <c r="E5" s="1"/>
    </row>
    <row r="6" spans="2:12">
      <c r="B6" s="11" t="s">
        <v>652</v>
      </c>
      <c r="C6" s="418">
        <v>223236</v>
      </c>
      <c r="D6" s="1"/>
      <c r="E6" s="1"/>
    </row>
    <row r="7" spans="2:12">
      <c r="B7" s="424" t="s">
        <v>71</v>
      </c>
      <c r="C7" s="425">
        <v>238075</v>
      </c>
      <c r="D7" s="1"/>
      <c r="E7" s="1"/>
    </row>
    <row r="8" spans="2:12" ht="15" thickBot="1">
      <c r="B8" s="423" t="s">
        <v>656</v>
      </c>
      <c r="C8" s="426">
        <f>SUM(C4:C7)</f>
        <v>2508821</v>
      </c>
      <c r="D8" s="1"/>
      <c r="E8" s="1"/>
    </row>
    <row r="9" spans="2:12" ht="15.5" thickTop="1" thickBot="1">
      <c r="D9" s="1"/>
      <c r="E9" s="1"/>
    </row>
    <row r="10" spans="2:12" ht="16" thickTop="1">
      <c r="B10" s="285" t="s">
        <v>670</v>
      </c>
      <c r="C10" s="305"/>
      <c r="D10" s="305"/>
      <c r="E10" s="305"/>
      <c r="F10" s="11"/>
      <c r="G10" s="11"/>
      <c r="H10" s="11"/>
      <c r="I10" s="11"/>
      <c r="J10" s="11"/>
      <c r="K10" s="11"/>
      <c r="L10" s="11"/>
    </row>
    <row r="11" spans="2:12" ht="15" thickBot="1">
      <c r="B11" s="188" t="s">
        <v>653</v>
      </c>
      <c r="C11" s="188" t="s">
        <v>641</v>
      </c>
      <c r="D11" s="188" t="s">
        <v>654</v>
      </c>
      <c r="E11" s="188" t="s">
        <v>655</v>
      </c>
      <c r="F11" s="11"/>
      <c r="G11" s="11"/>
      <c r="H11" s="11"/>
      <c r="I11" s="11"/>
      <c r="J11" s="11"/>
      <c r="K11" s="11"/>
      <c r="L11" s="11"/>
    </row>
    <row r="12" spans="2:12">
      <c r="B12" s="11" t="s">
        <v>629</v>
      </c>
      <c r="C12" s="418">
        <v>652</v>
      </c>
      <c r="D12" s="418">
        <f>(C12/SUM($C$12:$C$14))*$C$4</f>
        <v>701085.51593860681</v>
      </c>
      <c r="E12" s="11" t="s">
        <v>650</v>
      </c>
      <c r="F12" s="11"/>
      <c r="G12" s="11"/>
      <c r="H12" s="11"/>
      <c r="I12" s="11"/>
      <c r="J12" s="11"/>
      <c r="K12" s="11"/>
      <c r="L12" s="11"/>
    </row>
    <row r="13" spans="2:12">
      <c r="B13" s="11" t="s">
        <v>630</v>
      </c>
      <c r="C13" s="418">
        <v>766</v>
      </c>
      <c r="D13" s="418">
        <f>(C13/SUM($C$12:$C$14))*$C$4</f>
        <v>823667.95277449826</v>
      </c>
      <c r="E13" s="11" t="s">
        <v>650</v>
      </c>
      <c r="F13" s="11"/>
      <c r="G13" s="11"/>
      <c r="H13" s="11"/>
      <c r="I13" s="11"/>
      <c r="J13" s="11"/>
      <c r="K13" s="11"/>
      <c r="L13" s="11"/>
    </row>
    <row r="14" spans="2:12">
      <c r="B14" s="11" t="s">
        <v>631</v>
      </c>
      <c r="C14" s="418">
        <v>276</v>
      </c>
      <c r="D14" s="418">
        <f>(C14/SUM($C$12:$C$14))*$C$4</f>
        <v>296778.53128689493</v>
      </c>
      <c r="E14" s="11" t="s">
        <v>650</v>
      </c>
      <c r="F14" s="11"/>
      <c r="G14" s="11"/>
      <c r="H14" s="11"/>
      <c r="I14" s="11"/>
      <c r="J14" s="11"/>
      <c r="K14" s="11"/>
      <c r="L14" s="11"/>
    </row>
    <row r="15" spans="2:12">
      <c r="B15" s="11" t="s">
        <v>632</v>
      </c>
      <c r="C15" s="418">
        <v>101</v>
      </c>
      <c r="D15" s="418">
        <f>(C15/SUM($C$15:$C$17))*$C$5</f>
        <v>79525.358885017427</v>
      </c>
      <c r="E15" s="11" t="s">
        <v>651</v>
      </c>
      <c r="F15" s="11"/>
      <c r="G15" s="11"/>
      <c r="H15" s="11"/>
      <c r="I15" s="11"/>
      <c r="J15" s="11"/>
      <c r="K15" s="11"/>
      <c r="L15" s="11"/>
    </row>
    <row r="16" spans="2:12">
      <c r="B16" s="11" t="s">
        <v>633</v>
      </c>
      <c r="C16" s="418">
        <v>77</v>
      </c>
      <c r="D16" s="418">
        <f>(C16/SUM($C$15:$C$17))*$C$5</f>
        <v>60628.243902439026</v>
      </c>
      <c r="E16" s="11" t="s">
        <v>651</v>
      </c>
      <c r="F16" s="11"/>
      <c r="G16" s="11"/>
      <c r="H16" s="11"/>
      <c r="I16" s="11"/>
      <c r="J16" s="11"/>
      <c r="K16" s="11"/>
      <c r="L16" s="11"/>
    </row>
    <row r="17" spans="2:12">
      <c r="B17" s="11" t="s">
        <v>634</v>
      </c>
      <c r="C17" s="418">
        <v>109</v>
      </c>
      <c r="D17" s="418">
        <f>(C17/SUM($C$15:$C$17))*$C$5</f>
        <v>85824.397212543554</v>
      </c>
      <c r="E17" s="11" t="s">
        <v>651</v>
      </c>
      <c r="F17" s="11"/>
      <c r="G17" s="11"/>
      <c r="H17" s="11"/>
      <c r="I17" s="11"/>
      <c r="J17" s="11"/>
      <c r="K17" s="11"/>
      <c r="L17" s="11"/>
    </row>
    <row r="18" spans="2:12" ht="14.5" customHeight="1">
      <c r="B18" s="11" t="s">
        <v>635</v>
      </c>
      <c r="C18" s="418">
        <v>450</v>
      </c>
      <c r="D18" s="418">
        <f>(C18/SUM($C$18:$C$19))*$C$6</f>
        <v>198923.1683168317</v>
      </c>
      <c r="E18" s="11" t="s">
        <v>652</v>
      </c>
      <c r="F18" s="11"/>
      <c r="G18" s="11"/>
      <c r="H18" s="11"/>
      <c r="I18" s="11"/>
      <c r="J18" s="11"/>
      <c r="K18" s="11"/>
      <c r="L18" s="11"/>
    </row>
    <row r="19" spans="2:12" ht="14.5" customHeight="1">
      <c r="B19" s="11" t="s">
        <v>636</v>
      </c>
      <c r="C19" s="418">
        <v>55</v>
      </c>
      <c r="D19" s="418">
        <f>(C19/SUM($C$18:$C$19))*$C$6</f>
        <v>24312.831683168315</v>
      </c>
      <c r="E19" s="11" t="s">
        <v>652</v>
      </c>
      <c r="F19" s="11"/>
      <c r="G19" s="11"/>
      <c r="H19" s="11"/>
      <c r="I19" s="11"/>
      <c r="J19" s="11"/>
      <c r="K19" s="11"/>
      <c r="L19" s="11"/>
    </row>
    <row r="20" spans="2:12">
      <c r="B20" s="11" t="s">
        <v>637</v>
      </c>
      <c r="C20" s="418">
        <v>17</v>
      </c>
      <c r="D20" s="418">
        <f>(C20/SUM($C$20:$C$23))*$C$7</f>
        <v>15388.878326996197</v>
      </c>
      <c r="E20" s="11" t="s">
        <v>71</v>
      </c>
      <c r="F20" s="11"/>
      <c r="G20" s="11"/>
      <c r="H20" s="11"/>
      <c r="I20" s="11"/>
      <c r="J20" s="11"/>
      <c r="K20" s="11"/>
      <c r="L20" s="11"/>
    </row>
    <row r="21" spans="2:12">
      <c r="B21" s="11" t="s">
        <v>638</v>
      </c>
      <c r="C21" s="418">
        <v>147</v>
      </c>
      <c r="D21" s="418">
        <f>(C21/SUM($C$20:$C$23))*$C$7</f>
        <v>133068.53612167301</v>
      </c>
      <c r="E21" s="11" t="s">
        <v>71</v>
      </c>
      <c r="F21" s="11"/>
      <c r="G21" s="11"/>
      <c r="H21" s="11"/>
      <c r="I21" s="11"/>
      <c r="J21" s="11"/>
      <c r="K21" s="11"/>
      <c r="L21" s="11"/>
    </row>
    <row r="22" spans="2:12">
      <c r="B22" s="11" t="s">
        <v>639</v>
      </c>
      <c r="C22" s="418">
        <v>57</v>
      </c>
      <c r="D22" s="418">
        <f>(C22/SUM($C$20:$C$23))*$C$7</f>
        <v>51598.003802281368</v>
      </c>
      <c r="E22" s="11" t="s">
        <v>71</v>
      </c>
      <c r="F22" s="11"/>
      <c r="G22" s="11"/>
      <c r="H22" s="11"/>
      <c r="I22" s="11"/>
      <c r="J22" s="11"/>
      <c r="K22" s="11"/>
      <c r="L22" s="11"/>
    </row>
    <row r="23" spans="2:12">
      <c r="B23" s="424" t="s">
        <v>640</v>
      </c>
      <c r="C23" s="425">
        <v>42</v>
      </c>
      <c r="D23" s="425">
        <f>(C23/SUM($C$20:$C$23))*$C$7</f>
        <v>38019.58174904943</v>
      </c>
      <c r="E23" s="424" t="s">
        <v>71</v>
      </c>
      <c r="F23" s="11"/>
      <c r="G23" s="11"/>
      <c r="H23" s="11"/>
      <c r="I23" s="11"/>
      <c r="J23" s="11"/>
      <c r="K23" s="11"/>
      <c r="L23" s="11"/>
    </row>
    <row r="24" spans="2:12" ht="15" thickBot="1">
      <c r="B24" s="423" t="s">
        <v>656</v>
      </c>
      <c r="C24" s="426">
        <f>SUM(C12:C23)</f>
        <v>2749</v>
      </c>
      <c r="D24" s="426">
        <f>SUM(D12:D23)</f>
        <v>2508821</v>
      </c>
      <c r="E24" s="426"/>
      <c r="F24" s="11"/>
      <c r="G24" s="11"/>
      <c r="H24" s="11"/>
      <c r="I24" s="11"/>
      <c r="J24" s="11"/>
      <c r="K24" s="11"/>
      <c r="L24" s="11"/>
    </row>
    <row r="25" spans="2:12" ht="15.5" thickTop="1" thickBot="1">
      <c r="B25" s="419"/>
      <c r="C25" s="420"/>
      <c r="D25" s="420"/>
      <c r="E25" s="421"/>
      <c r="F25" s="11"/>
      <c r="G25" s="11"/>
      <c r="H25" s="11"/>
      <c r="I25" s="11"/>
      <c r="J25" s="11"/>
      <c r="K25" s="11"/>
      <c r="L25" s="11"/>
    </row>
    <row r="26" spans="2:12" ht="16" thickTop="1">
      <c r="B26" s="285" t="s">
        <v>672</v>
      </c>
      <c r="C26" s="305"/>
      <c r="D26" s="305"/>
      <c r="E26" s="305"/>
      <c r="F26" s="305"/>
      <c r="G26" s="305"/>
      <c r="H26" s="11"/>
      <c r="I26" s="11"/>
      <c r="J26" s="11"/>
      <c r="K26" s="11"/>
      <c r="L26" s="11"/>
    </row>
    <row r="27" spans="2:12" ht="31.5" customHeight="1" thickBot="1">
      <c r="B27" s="188" t="s">
        <v>653</v>
      </c>
      <c r="C27" s="188" t="s">
        <v>643</v>
      </c>
      <c r="D27" s="188" t="s">
        <v>642</v>
      </c>
      <c r="E27" s="231" t="s">
        <v>666</v>
      </c>
      <c r="F27" s="231" t="s">
        <v>668</v>
      </c>
      <c r="G27" s="231" t="s">
        <v>667</v>
      </c>
      <c r="H27" s="11"/>
      <c r="I27" s="11"/>
      <c r="J27" s="11"/>
      <c r="K27" s="11"/>
      <c r="L27" s="11"/>
    </row>
    <row r="28" spans="2:12">
      <c r="B28" s="11" t="s">
        <v>629</v>
      </c>
      <c r="C28" s="427">
        <v>4.93</v>
      </c>
      <c r="D28" s="427">
        <v>5.91</v>
      </c>
      <c r="E28" s="427">
        <f t="shared" ref="E28:E35" si="0">C28*(D12/($D$24-$D$20))</f>
        <v>1.3861823482318192</v>
      </c>
      <c r="F28" s="427">
        <f t="shared" ref="F28:F39" si="1">D28*(D12/($D$24))</f>
        <v>1.6515388699302049</v>
      </c>
      <c r="G28" s="427">
        <f t="shared" ref="G28:G35" si="2">D28*(D12/($D$24-$D$20))</f>
        <v>1.661731780537536</v>
      </c>
      <c r="H28" s="11"/>
      <c r="I28" s="11"/>
      <c r="J28" s="11"/>
      <c r="K28" s="11"/>
      <c r="L28" s="11"/>
    </row>
    <row r="29" spans="2:12">
      <c r="B29" s="11" t="s">
        <v>630</v>
      </c>
      <c r="C29" s="427">
        <v>5.72</v>
      </c>
      <c r="D29" s="427">
        <v>6.46</v>
      </c>
      <c r="E29" s="427">
        <f t="shared" si="0"/>
        <v>1.8895163212660315</v>
      </c>
      <c r="F29" s="427">
        <f t="shared" si="1"/>
        <v>2.1208746956930202</v>
      </c>
      <c r="G29" s="427">
        <f t="shared" si="2"/>
        <v>2.1339642369542946</v>
      </c>
      <c r="H29" s="11"/>
      <c r="I29" s="11"/>
      <c r="J29" s="11"/>
      <c r="K29" s="11"/>
      <c r="L29" s="11"/>
    </row>
    <row r="30" spans="2:12">
      <c r="B30" s="11" t="s">
        <v>631</v>
      </c>
      <c r="C30" s="427">
        <v>5.34</v>
      </c>
      <c r="D30" s="427">
        <v>6.09</v>
      </c>
      <c r="E30" s="427">
        <f t="shared" si="0"/>
        <v>0.63558873060826548</v>
      </c>
      <c r="F30" s="427">
        <f t="shared" si="1"/>
        <v>0.7204106054346604</v>
      </c>
      <c r="G30" s="427">
        <f t="shared" si="2"/>
        <v>0.72485681074987585</v>
      </c>
      <c r="H30" s="11"/>
      <c r="I30" s="11"/>
      <c r="J30" s="11"/>
      <c r="K30" s="11"/>
      <c r="L30" s="11"/>
    </row>
    <row r="31" spans="2:12">
      <c r="B31" s="11" t="s">
        <v>632</v>
      </c>
      <c r="C31" s="427">
        <v>6</v>
      </c>
      <c r="D31" s="427">
        <v>6.92</v>
      </c>
      <c r="E31" s="427">
        <f t="shared" si="0"/>
        <v>0.19136360246692918</v>
      </c>
      <c r="F31" s="427">
        <f t="shared" si="1"/>
        <v>0.21935223098193157</v>
      </c>
      <c r="G31" s="427">
        <f t="shared" si="2"/>
        <v>0.22070602151185834</v>
      </c>
      <c r="H31" s="11"/>
      <c r="I31" s="11"/>
      <c r="J31" s="11"/>
      <c r="K31" s="11"/>
      <c r="L31" s="11"/>
    </row>
    <row r="32" spans="2:12">
      <c r="B32" s="11" t="s">
        <v>633</v>
      </c>
      <c r="C32" s="427">
        <v>7.78</v>
      </c>
      <c r="D32" s="427">
        <v>9.91</v>
      </c>
      <c r="E32" s="427">
        <f t="shared" si="0"/>
        <v>0.18917207870270397</v>
      </c>
      <c r="F32" s="427">
        <f t="shared" si="1"/>
        <v>0.23948535868966767</v>
      </c>
      <c r="G32" s="427">
        <f t="shared" si="2"/>
        <v>0.24096340616244169</v>
      </c>
      <c r="H32" s="11"/>
      <c r="I32" s="11"/>
      <c r="J32" s="11"/>
      <c r="K32" s="11"/>
      <c r="L32" s="11"/>
    </row>
    <row r="33" spans="2:12">
      <c r="B33" s="11" t="s">
        <v>634</v>
      </c>
      <c r="C33" s="427">
        <v>4.95</v>
      </c>
      <c r="D33" s="427">
        <v>5.89</v>
      </c>
      <c r="E33" s="427">
        <f t="shared" si="0"/>
        <v>0.17037992031523375</v>
      </c>
      <c r="F33" s="427">
        <f t="shared" si="1"/>
        <v>0.20149133779647155</v>
      </c>
      <c r="G33" s="427">
        <f t="shared" si="2"/>
        <v>0.20273489508216699</v>
      </c>
      <c r="H33" s="11"/>
      <c r="I33" s="11"/>
      <c r="J33" s="11"/>
      <c r="K33" s="11"/>
      <c r="L33" s="11"/>
    </row>
    <row r="34" spans="2:12">
      <c r="B34" s="11" t="s">
        <v>635</v>
      </c>
      <c r="C34" s="427">
        <v>9.42</v>
      </c>
      <c r="D34" s="427">
        <v>12.41</v>
      </c>
      <c r="E34" s="427">
        <f t="shared" si="0"/>
        <v>0.75151684670175178</v>
      </c>
      <c r="F34" s="427">
        <f t="shared" si="1"/>
        <v>0.98398272288532396</v>
      </c>
      <c r="G34" s="427">
        <f t="shared" si="2"/>
        <v>0.99005563349986625</v>
      </c>
      <c r="H34" s="11"/>
      <c r="I34" s="11"/>
      <c r="J34" s="11"/>
      <c r="K34" s="11"/>
      <c r="L34" s="11"/>
    </row>
    <row r="35" spans="2:12">
      <c r="B35" s="11" t="s">
        <v>636</v>
      </c>
      <c r="C35" s="427">
        <v>6</v>
      </c>
      <c r="D35" s="427">
        <v>6.96</v>
      </c>
      <c r="E35" s="427">
        <f t="shared" si="0"/>
        <v>5.8504496204665739E-2</v>
      </c>
      <c r="F35" s="427">
        <f t="shared" si="1"/>
        <v>6.7448936578118346E-2</v>
      </c>
      <c r="G35" s="427">
        <f t="shared" si="2"/>
        <v>6.7865215597412251E-2</v>
      </c>
      <c r="H35" s="11"/>
      <c r="I35" s="11"/>
      <c r="J35" s="11"/>
      <c r="K35" s="11"/>
      <c r="L35" s="11"/>
    </row>
    <row r="36" spans="2:12">
      <c r="B36" s="11" t="s">
        <v>637</v>
      </c>
      <c r="C36" s="427">
        <v>30.89</v>
      </c>
      <c r="D36" s="427">
        <v>31.62</v>
      </c>
      <c r="E36" s="429">
        <v>0</v>
      </c>
      <c r="F36" s="427">
        <f t="shared" si="1"/>
        <v>0.19395418513302454</v>
      </c>
      <c r="G36" s="429">
        <v>0</v>
      </c>
      <c r="H36" s="11"/>
      <c r="I36" s="11"/>
      <c r="J36" s="11"/>
      <c r="K36" s="11"/>
      <c r="L36" s="11"/>
    </row>
    <row r="37" spans="2:12">
      <c r="B37" s="11" t="s">
        <v>638</v>
      </c>
      <c r="C37" s="427">
        <v>6.01</v>
      </c>
      <c r="D37" s="427">
        <v>7.01</v>
      </c>
      <c r="E37" s="427">
        <f>C37*(D21/($D$24-$D$20))</f>
        <v>0.32073939175639421</v>
      </c>
      <c r="F37" s="427">
        <f t="shared" si="1"/>
        <v>0.37181227286160623</v>
      </c>
      <c r="G37" s="427">
        <f>D37*(D21/($D$24-$D$20))</f>
        <v>0.37410701101702554</v>
      </c>
      <c r="H37" s="11"/>
      <c r="I37" s="11"/>
      <c r="J37" s="11"/>
      <c r="K37" s="11"/>
      <c r="L37" s="11"/>
    </row>
    <row r="38" spans="2:12">
      <c r="B38" s="11" t="s">
        <v>639</v>
      </c>
      <c r="C38" s="427">
        <v>8.89</v>
      </c>
      <c r="D38" s="427">
        <v>10.02</v>
      </c>
      <c r="E38" s="427">
        <f>C38*(D22/($D$24-$D$20))</f>
        <v>0.18396580753700481</v>
      </c>
      <c r="F38" s="427">
        <f t="shared" si="1"/>
        <v>0.20607767477187861</v>
      </c>
      <c r="G38" s="427">
        <f>D38*(D22/($D$24-$D$20))</f>
        <v>0.20734953785385693</v>
      </c>
      <c r="H38" s="11"/>
      <c r="I38" s="11"/>
      <c r="J38" s="11"/>
      <c r="K38" s="11"/>
      <c r="L38" s="11"/>
    </row>
    <row r="39" spans="2:12">
      <c r="B39" s="424" t="s">
        <v>640</v>
      </c>
      <c r="C39" s="430">
        <v>8.42</v>
      </c>
      <c r="D39" s="430">
        <v>13.53</v>
      </c>
      <c r="E39" s="430">
        <f>C39*(D23/($D$24-$D$20))</f>
        <v>0.12838724404986163</v>
      </c>
      <c r="F39" s="430">
        <f t="shared" si="1"/>
        <v>0.20503851851711971</v>
      </c>
      <c r="G39" s="430">
        <f>D39*(D23/($D$24-$D$20))</f>
        <v>0.20630396817038335</v>
      </c>
      <c r="H39" s="11"/>
      <c r="I39" s="11"/>
      <c r="J39" s="11"/>
      <c r="K39" s="11"/>
      <c r="L39" s="11"/>
    </row>
    <row r="40" spans="2:12" ht="15" thickBot="1">
      <c r="B40" s="423" t="s">
        <v>657</v>
      </c>
      <c r="C40" s="423"/>
      <c r="D40" s="423"/>
      <c r="E40" s="428">
        <f>SUM(E28:E39)</f>
        <v>5.9053167878406612</v>
      </c>
      <c r="F40" s="428">
        <f>SUM(F28:F39)</f>
        <v>7.1814674092730275</v>
      </c>
      <c r="G40" s="428">
        <f>SUM(G28:G39)</f>
        <v>7.0306385171367172</v>
      </c>
      <c r="H40" s="11"/>
      <c r="I40" s="11"/>
      <c r="J40" s="11"/>
      <c r="K40" s="11"/>
      <c r="L40" s="11"/>
    </row>
    <row r="41" spans="2:12" ht="15.5" thickTop="1" thickBot="1">
      <c r="B41" s="419"/>
      <c r="C41" s="421"/>
      <c r="D41" s="421"/>
      <c r="E41" s="422"/>
      <c r="F41" s="422"/>
      <c r="G41" s="422"/>
      <c r="H41" s="11"/>
      <c r="I41" s="11"/>
      <c r="J41" s="11"/>
      <c r="K41" s="11"/>
      <c r="L41" s="11"/>
    </row>
    <row r="42" spans="2:12" ht="16" thickTop="1">
      <c r="B42" s="285" t="s">
        <v>673</v>
      </c>
      <c r="C42" s="285"/>
      <c r="D42" s="285"/>
      <c r="E42" s="285"/>
      <c r="F42" s="285"/>
      <c r="G42" s="285"/>
      <c r="H42" s="285"/>
      <c r="I42" s="285"/>
      <c r="J42" s="285"/>
      <c r="K42" s="285"/>
      <c r="L42" s="285"/>
    </row>
    <row r="43" spans="2:12" ht="15" thickBot="1">
      <c r="B43" s="188" t="s">
        <v>575</v>
      </c>
      <c r="C43" s="188" t="s">
        <v>644</v>
      </c>
      <c r="D43" s="188" t="s">
        <v>53</v>
      </c>
      <c r="E43" s="188" t="s">
        <v>645</v>
      </c>
      <c r="F43" s="188" t="s">
        <v>658</v>
      </c>
      <c r="G43" s="188" t="s">
        <v>659</v>
      </c>
      <c r="H43" s="188" t="s">
        <v>660</v>
      </c>
      <c r="I43" s="188" t="s">
        <v>661</v>
      </c>
      <c r="J43" s="188" t="s">
        <v>662</v>
      </c>
      <c r="K43" s="188" t="s">
        <v>626</v>
      </c>
      <c r="L43" s="188" t="s">
        <v>323</v>
      </c>
    </row>
    <row r="44" spans="2:12">
      <c r="B44" s="433" t="s">
        <v>664</v>
      </c>
      <c r="C44" s="430">
        <v>8260.66</v>
      </c>
      <c r="D44" s="430">
        <f>C44-681</f>
        <v>7579.66</v>
      </c>
      <c r="E44" s="431">
        <f>681/D44</f>
        <v>8.9845718673396968E-2</v>
      </c>
      <c r="F44" s="430">
        <f>0.7*(1+((1-0.16)*E44))</f>
        <v>0.7528292825799574</v>
      </c>
      <c r="G44" s="431">
        <f>681/C44</f>
        <v>8.2438933450838067E-2</v>
      </c>
      <c r="H44" s="431">
        <f>6.3%*G44*0.84</f>
        <v>4.36266835821835E-3</v>
      </c>
      <c r="I44" s="431">
        <f>4.1%+(F44*E40/100)</f>
        <v>8.5456954007974623E-2</v>
      </c>
      <c r="J44" s="431">
        <f>I44*(1-G44)</f>
        <v>7.8411973863599868E-2</v>
      </c>
      <c r="K44" s="431">
        <f>J44+H44</f>
        <v>8.2774642221818212E-2</v>
      </c>
      <c r="L44" s="432">
        <f>0.45/((K44)-0.035)</f>
        <v>9.4192228151211452</v>
      </c>
    </row>
    <row r="45" spans="2:12">
      <c r="B45" s="434" t="s">
        <v>665</v>
      </c>
      <c r="C45" s="430">
        <v>7097.68</v>
      </c>
      <c r="D45" s="430">
        <f>C45-681</f>
        <v>6416.68</v>
      </c>
      <c r="E45" s="431">
        <f>681/D45</f>
        <v>0.1061296496007281</v>
      </c>
      <c r="F45" s="430">
        <f>0.7*(1+((1-0.16)*E45))</f>
        <v>0.76240423396522805</v>
      </c>
      <c r="G45" s="431">
        <f>681/C45</f>
        <v>9.5946844602743428E-2</v>
      </c>
      <c r="H45" s="431">
        <f>6.3%*G45*0.84</f>
        <v>5.0775070163771819E-3</v>
      </c>
      <c r="I45" s="431">
        <f>4.1%+(F45*G40/100)</f>
        <v>9.4601885729440449E-2</v>
      </c>
      <c r="J45" s="431">
        <f>I45*(1-G45)</f>
        <v>8.5525133300231343E-2</v>
      </c>
      <c r="K45" s="431">
        <f>J45+H45</f>
        <v>9.0602640316608529E-2</v>
      </c>
      <c r="L45" s="432">
        <f>0.45/((K45)-0.035)</f>
        <v>8.0931408551400192</v>
      </c>
    </row>
    <row r="46" spans="2:12">
      <c r="B46" s="424" t="s">
        <v>663</v>
      </c>
      <c r="C46" s="435"/>
      <c r="D46" s="435"/>
      <c r="E46" s="1"/>
    </row>
  </sheetData>
  <phoneticPr fontId="6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3- Statement Model</vt:lpstr>
      <vt:lpstr>LBO Model</vt:lpstr>
      <vt:lpstr>Returns Analysis - LBO</vt:lpstr>
      <vt:lpstr>Appendix - Footnotes</vt:lpstr>
      <vt:lpstr>WACC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Iyer</dc:creator>
  <cp:lastModifiedBy>Abhinav Iyer</cp:lastModifiedBy>
  <dcterms:created xsi:type="dcterms:W3CDTF">2015-06-05T18:17:20Z</dcterms:created>
  <dcterms:modified xsi:type="dcterms:W3CDTF">2026-04-29T17:59:48Z</dcterms:modified>
</cp:coreProperties>
</file>